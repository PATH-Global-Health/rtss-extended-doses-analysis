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pi.box.com/wopi/files/1812722951488/WOPIServiceId_TP_BOX_2/WOPIUserId_-/"/>
    </mc:Choice>
  </mc:AlternateContent>
  <xr:revisionPtr revIDLastSave="243" documentId="13_ncr:1_{73FFF4E4-4609-4F1E-90B3-6E885B098056}" xr6:coauthVersionLast="47" xr6:coauthVersionMax="47" xr10:uidLastSave="{F9DFEC17-1C95-4FBA-9D90-758B7DD6F4D3}"/>
  <bookViews>
    <workbookView xWindow="3015" yWindow="1335" windowWidth="19305" windowHeight="14820" firstSheet="2" activeTab="7" xr2:uid="{9F4655A6-35AB-4FE6-9915-D2250CC48F6A}"/>
  </bookViews>
  <sheets>
    <sheet name="vaccine and consumables" sheetId="1" r:id="rId1"/>
    <sheet name="delivery costs" sheetId="2" r:id="rId2"/>
    <sheet name="smc" sheetId="5" r:id="rId3"/>
    <sheet name="costs " sheetId="3" r:id="rId4"/>
    <sheet name="Table001 (Page 1)" sheetId="10" r:id="rId5"/>
    <sheet name="Table005 (Page 1)" sheetId="9" r:id="rId6"/>
    <sheet name="Sheet2" sheetId="8" r:id="rId7"/>
    <sheet name="Sheet1" sheetId="7" r:id="rId8"/>
  </sheets>
  <definedNames>
    <definedName name="ExternalData_1" localSheetId="5" hidden="1">'Table005 (Page 1)'!$A$1:$C$11</definedName>
    <definedName name="ExternalData_2" localSheetId="4" hidden="1">'Table001 (Page 1)'!$A$1:$G$54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7" l="1"/>
  <c r="J47" i="7"/>
  <c r="H47" i="7"/>
  <c r="F47" i="7"/>
  <c r="G47" i="7"/>
  <c r="E47" i="7"/>
  <c r="C47" i="7"/>
  <c r="D47" i="7"/>
  <c r="B47" i="7"/>
  <c r="I41" i="7"/>
  <c r="J41" i="7"/>
  <c r="H41" i="7"/>
  <c r="F41" i="7"/>
  <c r="G41" i="7"/>
  <c r="E41" i="7"/>
  <c r="C41" i="7"/>
  <c r="D41" i="7"/>
  <c r="B41" i="7"/>
  <c r="K11" i="10"/>
  <c r="D10" i="3"/>
  <c r="C30" i="7"/>
  <c r="B30" i="7"/>
  <c r="C23" i="7"/>
  <c r="B23" i="7"/>
  <c r="C16" i="7"/>
  <c r="B16" i="7"/>
  <c r="D12" i="7"/>
  <c r="C12" i="7"/>
  <c r="B12" i="7"/>
  <c r="O49" i="2"/>
  <c r="O50" i="2"/>
  <c r="P50" i="2" s="1"/>
  <c r="O51" i="2"/>
  <c r="O48" i="2"/>
  <c r="P48" i="2" s="1"/>
  <c r="O44" i="2"/>
  <c r="O45" i="2"/>
  <c r="O46" i="2"/>
  <c r="O47" i="2"/>
  <c r="O43" i="2"/>
  <c r="P43" i="2" s="1"/>
  <c r="R43" i="2" s="1"/>
  <c r="I43" i="2"/>
  <c r="H50" i="2"/>
  <c r="I50" i="2" s="1"/>
  <c r="Q50" i="2" s="1"/>
  <c r="H48" i="2"/>
  <c r="I48" i="2" s="1"/>
  <c r="H46" i="2"/>
  <c r="H43" i="2"/>
  <c r="F28" i="1"/>
  <c r="C45" i="3"/>
  <c r="B45" i="3"/>
  <c r="C37" i="3"/>
  <c r="B37" i="3"/>
  <c r="C29" i="3"/>
  <c r="B29" i="3"/>
  <c r="S22" i="3"/>
  <c r="R22" i="3"/>
  <c r="K22" i="3"/>
  <c r="J22" i="3"/>
  <c r="V16" i="3"/>
  <c r="U16" i="3"/>
  <c r="T16" i="3"/>
  <c r="S16" i="3"/>
  <c r="R16" i="3"/>
  <c r="N16" i="3"/>
  <c r="M16" i="3"/>
  <c r="L16" i="3"/>
  <c r="K16" i="3"/>
  <c r="J16" i="3"/>
  <c r="C22" i="3"/>
  <c r="B22" i="3"/>
  <c r="F16" i="3"/>
  <c r="E16" i="3"/>
  <c r="D16" i="3"/>
  <c r="V10" i="3"/>
  <c r="U10" i="3"/>
  <c r="T10" i="3"/>
  <c r="S10" i="3"/>
  <c r="R10" i="3"/>
  <c r="N10" i="3"/>
  <c r="M10" i="3"/>
  <c r="L10" i="3"/>
  <c r="K10" i="3"/>
  <c r="J10" i="3"/>
  <c r="F10" i="3"/>
  <c r="E10" i="3"/>
  <c r="F8" i="1"/>
  <c r="E36" i="1"/>
  <c r="E35" i="1"/>
  <c r="E32" i="1"/>
  <c r="E31" i="1"/>
  <c r="E30" i="1"/>
  <c r="E29" i="1"/>
  <c r="E11" i="1"/>
  <c r="E10" i="1"/>
  <c r="E8" i="1"/>
  <c r="R50" i="2" l="1"/>
  <c r="Q48" i="2"/>
  <c r="R48" i="2" s="1"/>
  <c r="E33" i="1"/>
  <c r="F29" i="1"/>
  <c r="F30" i="1" s="1"/>
  <c r="F31" i="1" s="1"/>
  <c r="F32" i="1" s="1"/>
  <c r="E9" i="1"/>
  <c r="F9" i="1" s="1"/>
  <c r="F10" i="1" s="1"/>
  <c r="F11" i="1" s="1"/>
  <c r="F12" i="1" s="1"/>
  <c r="F13" i="1" s="1"/>
  <c r="F14" i="1" s="1"/>
  <c r="F15" i="1" s="1"/>
  <c r="F33" i="1" l="1"/>
  <c r="E34" i="1" s="1"/>
  <c r="F34" i="1" s="1"/>
  <c r="F35" i="1" s="1"/>
  <c r="F36" i="1" s="1"/>
  <c r="F37" i="1" s="1"/>
  <c r="E16" i="1"/>
  <c r="E3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BAC6F3-C36F-4439-BD7C-4ADDCE8361FC}"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 id="2" xr16:uid="{B4E153D0-5112-4097-9965-12A47850ED52}" keepAlive="1" name="Query - Table005 (Page 1)" description="Connection to the 'Table005 (Page 1)' query in the workbook." type="5" refreshedVersion="8" background="1" saveData="1">
    <dbPr connection="Provider=Microsoft.Mashup.OleDb.1;Data Source=$Workbook$;Location=&quot;Table005 (Page 1)&quot;;Extended Properties=&quot;&quot;" command="SELECT * FROM [Table005 (Page 1)]"/>
  </connection>
</connections>
</file>

<file path=xl/sharedStrings.xml><?xml version="1.0" encoding="utf-8"?>
<sst xmlns="http://schemas.openxmlformats.org/spreadsheetml/2006/main" count="531" uniqueCount="296">
  <si>
    <t>wastage</t>
  </si>
  <si>
    <t>Vaccine</t>
  </si>
  <si>
    <t>Input</t>
  </si>
  <si>
    <t>Unit cost 2025 USD</t>
  </si>
  <si>
    <t xml:space="preserve">Quantity </t>
  </si>
  <si>
    <t>Cumulative sum</t>
  </si>
  <si>
    <t xml:space="preserve">Source </t>
  </si>
  <si>
    <t>Notes</t>
  </si>
  <si>
    <t>Wastage</t>
  </si>
  <si>
    <t>Freight and insurance</t>
  </si>
  <si>
    <t>Reconstitution syringe</t>
  </si>
  <si>
    <t>Injection syringe</t>
  </si>
  <si>
    <t>Safety box</t>
  </si>
  <si>
    <t>Total per dose</t>
  </si>
  <si>
    <t xml:space="preserve">GSK Assumption </t>
  </si>
  <si>
    <t>Consumables included the vaccine, injection and reconstitution syringes, and the safety box, with costs accounting for freight and wastage</t>
  </si>
  <si>
    <t>The cost of consumables was estimated according to the methods used previously for RTS,S/AS01 (Penny et al. 2016, Supplementary Materials p. 33),  with unit costs converted from 2013 to 2025 US dollars.</t>
  </si>
  <si>
    <t>consumable costs assumed to be the same across settings and implementations</t>
  </si>
  <si>
    <t>Delivery costs were assumed to vary depending on the implementation, as seen for RTS,S/AS01, with routine age-based implementation being the cheapest</t>
  </si>
  <si>
    <t>10.1016/S0140-6736(15)00725-4</t>
  </si>
  <si>
    <t>Penny et al 2016</t>
  </si>
  <si>
    <t>$2, $10 in sensitivity</t>
  </si>
  <si>
    <t>Price (% or 2013 USD)</t>
  </si>
  <si>
    <t>inflation calculator</t>
  </si>
  <si>
    <t xml:space="preserve">https://www.in2013dollars.com/us/inflation/2013?amount=0.60 </t>
  </si>
  <si>
    <t>Hutton et al. 2006</t>
  </si>
  <si>
    <t>Maire et al. 2011</t>
  </si>
  <si>
    <t>Applied to vaccine price including wastage</t>
  </si>
  <si>
    <t>Median supplier price. Freight included in cost of goods cited by the UNICEF PSQ</t>
  </si>
  <si>
    <t>Median supplier price. 100 syringes capacity; -Freight included in cost of goods cited by the UNICEF SPQ</t>
  </si>
  <si>
    <t xml:space="preserve">https://doi.org/10.4269/ajtmh.2006.75.119 </t>
  </si>
  <si>
    <t>https://doi.org/10.1016/j.jval.2011.06.004</t>
  </si>
  <si>
    <t>Unit cost 2025 USD2</t>
  </si>
  <si>
    <t>https://doi.org/10.1136/bmjgh-2022-011316</t>
  </si>
  <si>
    <t>Data from Table 1</t>
  </si>
  <si>
    <t>Wastage (vaccine)</t>
  </si>
  <si>
    <t>Price (% or 2022 USD)</t>
  </si>
  <si>
    <t>Safety box (100-capacity)</t>
  </si>
  <si>
    <t>Wastage (injection device and safety boxes)</t>
  </si>
  <si>
    <t>Vaccine/injection device and safety boxes (buffer stock)</t>
  </si>
  <si>
    <t>Handlig fee</t>
  </si>
  <si>
    <t xml:space="preserve"> % of product cost</t>
  </si>
  <si>
    <t xml:space="preserve">Freight and insurance </t>
  </si>
  <si>
    <t>% of product cost</t>
  </si>
  <si>
    <t xml:space="preserve">Delivery costs were derived from two studies:   </t>
  </si>
  <si>
    <t>Costing study on the potential costs of introducing and delivering RTS,S/AS01 under age-based, seasonal or hybrid implementation in Mali and Burkina Faso</t>
  </si>
  <si>
    <t xml:space="preserve">The pilot age-based implementation of RTS,S/AS01 in routine immunisation programmes in the Malaria Vaccine Implementation Program (MVIP) in Ghana, Kenya and Malawi. </t>
  </si>
  <si>
    <t xml:space="preserve">https://doi.org/10.1371/journal.pone.0244995 </t>
  </si>
  <si>
    <t xml:space="preserve">MVIP Cost of Delivery Study Data </t>
  </si>
  <si>
    <t>provider perspective</t>
  </si>
  <si>
    <t>costs of planning and coordination, procurement and distribution, training, sensitization, social mobilization, service delivery, supervision and monitoring, and other costs incurred between 2018 and 2020</t>
  </si>
  <si>
    <t>The incremental non-vaccine economic cost of introducing and delivering RTS,S/AS01 was estimated at between US$2.07 to US$4.77 per dose across MVIP countries, with recurring delivery costs ranging between US$0.96 and US$2.67</t>
  </si>
  <si>
    <t>The cost of delivery was slightly lower for the first 3 doses, (range: $0.94 to $1.97 (financial) and $1.71 to $3.86 (economic))</t>
  </si>
  <si>
    <t>The cost of delivery of the fourth dose based on assumed coverage levels ranged between US$ 1.64 and $3.12 (financial), and $2.48 and $5.82 (economic).</t>
  </si>
  <si>
    <t xml:space="preserve">The cost per FIC, based on assumed coverage levels, were estimated to be US$ 8.92 to $10.8 (financial) and $33.71 to $41.65 (economic).  </t>
  </si>
  <si>
    <t xml:space="preserve">From WHO Full Evidence Report </t>
  </si>
  <si>
    <t xml:space="preserve">https://cdn.who.int/media/docs/default-source/immunization/mvip/full-evidence-report-on-the-rtss-as01-malaria-vaccine-for-sage-mpag-%28sept2021%29.pdf </t>
  </si>
  <si>
    <r>
      <t>The incremental non-vaccine cost of introducing and delivering a dose of RTS,S/AS01 ranged between US$ 1.20 and $2.50 (financial) and</t>
    </r>
    <r>
      <rPr>
        <b/>
        <sz val="11"/>
        <color theme="1"/>
        <rFont val="Aptos Narrow"/>
        <family val="2"/>
        <scheme val="minor"/>
      </rPr>
      <t xml:space="preserve"> $ 2.07 and $4.77 (economic) </t>
    </r>
    <r>
      <rPr>
        <sz val="11"/>
        <color theme="1"/>
        <rFont val="Aptos Narrow"/>
        <family val="2"/>
        <scheme val="minor"/>
      </rPr>
      <t>across MVIP countries.</t>
    </r>
  </si>
  <si>
    <r>
      <t xml:space="preserve">Considering only the recurring costs, the </t>
    </r>
    <r>
      <rPr>
        <b/>
        <sz val="11"/>
        <color theme="1"/>
        <rFont val="Aptos Narrow"/>
        <family val="2"/>
        <scheme val="minor"/>
      </rPr>
      <t xml:space="preserve">non-vaccine cost of delivery per dose </t>
    </r>
    <r>
      <rPr>
        <sz val="11"/>
        <color theme="1"/>
        <rFont val="Aptos Narrow"/>
        <family val="2"/>
        <scheme val="minor"/>
      </rPr>
      <t>of RTS,S/AS01 ranged between US$ 0.40 and $1.10 (financial) and</t>
    </r>
    <r>
      <rPr>
        <b/>
        <sz val="11"/>
        <color theme="1"/>
        <rFont val="Aptos Narrow"/>
        <family val="2"/>
        <scheme val="minor"/>
      </rPr>
      <t xml:space="preserve"> $0.96 and $2.67 (economic)</t>
    </r>
    <r>
      <rPr>
        <sz val="11"/>
        <color theme="1"/>
        <rFont val="Aptos Narrow"/>
        <family val="2"/>
        <scheme val="minor"/>
      </rPr>
      <t xml:space="preserve"> across MVIP countries.</t>
    </r>
  </si>
  <si>
    <t xml:space="preserve">From </t>
  </si>
  <si>
    <t>Costs of continuing RTS,S/ASO1E malaria vaccination in the three malaria vaccine pilot implementation countries</t>
  </si>
  <si>
    <t>The cost of delivering a dose of vaccine, excluding procurement add-on costs, is estimated to be $0.24 in Malawi, $0.90 in Ghana, and $0.71 in Kenya. </t>
  </si>
  <si>
    <t>The financial cost per FVC is estimated to be $13.69 in Malawi, $12.49 in Ghana, and $12.66 in Kenya.</t>
  </si>
  <si>
    <t>Similarly, the economic unit cost per dose of vaccination is estimated roughly four times higher than the financial cost at $8.24 in Malawi, $8.73 in Ghana, and $8.46 in Kenya.</t>
  </si>
  <si>
    <t>The economic cost per FVC is estimated at $46.29 in Malawi, $47.87 in Ghana, and $60.12 in Kenya</t>
  </si>
  <si>
    <t>The economic cost per dose of delivery, excluding procurement add-on costs, is lowest in Malawi at $0.33 per dose, followed by $1.19 in Kenya, and $1.66 Ghana.</t>
  </si>
  <si>
    <t>Cost of introducing and delivering RTS,S/AS01 malaria vaccine within the malaria vaccine implementation program</t>
  </si>
  <si>
    <t>From</t>
  </si>
  <si>
    <t>https://doi.org/10.1016/j.vaccine.2023.01.043</t>
  </si>
  <si>
    <t>At a vaccine price of $5 per dose, the incremental cost per dose administered across countries ranges from $2.30 to $3.01 (financial), and $8.28 to $10.29 (economic)</t>
  </si>
  <si>
    <r>
      <t xml:space="preserve">The </t>
    </r>
    <r>
      <rPr>
        <b/>
        <sz val="11"/>
        <color theme="1"/>
        <rFont val="Aptos Narrow"/>
        <family val="2"/>
        <scheme val="minor"/>
      </rPr>
      <t>non-vaccine cost of delivery</t>
    </r>
    <r>
      <rPr>
        <sz val="11"/>
        <color theme="1"/>
        <rFont val="Aptos Narrow"/>
        <family val="2"/>
        <scheme val="minor"/>
      </rPr>
      <t xml:space="preserve"> ranges between $1.04 and $2.46 (financial) and </t>
    </r>
    <r>
      <rPr>
        <b/>
        <sz val="11"/>
        <color theme="1"/>
        <rFont val="Aptos Narrow"/>
        <family val="2"/>
        <scheme val="minor"/>
      </rPr>
      <t>$1.52 and $4.62 (economic)</t>
    </r>
    <r>
      <rPr>
        <sz val="11"/>
        <color theme="1"/>
        <rFont val="Aptos Narrow"/>
        <family val="2"/>
        <scheme val="minor"/>
      </rPr>
      <t>, by country. </t>
    </r>
  </si>
  <si>
    <r>
      <t xml:space="preserve">Considering only </t>
    </r>
    <r>
      <rPr>
        <b/>
        <sz val="11"/>
        <color theme="1"/>
        <rFont val="Aptos Narrow"/>
        <family val="2"/>
        <scheme val="minor"/>
      </rPr>
      <t>recurrent costs</t>
    </r>
    <r>
      <rPr>
        <sz val="11"/>
        <color theme="1"/>
        <rFont val="Aptos Narrow"/>
        <family val="2"/>
        <scheme val="minor"/>
      </rPr>
      <t xml:space="preserve">, the non-vaccine cost of delivery per dose ranges between $0.29 and $0.89 (financial) and </t>
    </r>
    <r>
      <rPr>
        <b/>
        <sz val="11"/>
        <color theme="1"/>
        <rFont val="Aptos Narrow"/>
        <family val="2"/>
        <scheme val="minor"/>
      </rPr>
      <t>$0.59 and $2.29 (economic)</t>
    </r>
    <r>
      <rPr>
        <sz val="11"/>
        <color theme="1"/>
        <rFont val="Aptos Narrow"/>
        <family val="2"/>
        <scheme val="minor"/>
      </rPr>
      <t>, by country.</t>
    </r>
  </si>
  <si>
    <t xml:space="preserve">data from 2019 - 2021 </t>
  </si>
  <si>
    <t>The procurement add-on costs were calculated as a percentage of the base price of vaccine/injection supplies.</t>
  </si>
  <si>
    <t>Cost of introducing and delivering malaria vaccine (RTS, S/AS01E) in areas of seasonal malaria transmission, Mali and Burkina Faso</t>
  </si>
  <si>
    <t>10.1136/bmjgh-2022-011316</t>
  </si>
  <si>
    <t>The economic cost of delivery per dose ranged from US$0.48 to US$2.12 depending on the country and scenario.</t>
  </si>
  <si>
    <t>Age-based</t>
  </si>
  <si>
    <t>The financial non-commodity cost per dose administered ranges between $0.99 and $1.99 (mass campaign), $0.39 and $0.76 (routine EPI) and $0.58 and $1.28 (mixed delivery). </t>
  </si>
  <si>
    <r>
      <t> </t>
    </r>
    <r>
      <rPr>
        <b/>
        <sz val="11"/>
        <color theme="1"/>
        <rFont val="Aptos Narrow"/>
        <family val="2"/>
        <scheme val="minor"/>
      </rPr>
      <t>Excluding commodities, the economic cost per dose administered ranges between $1.17 and $2.12 (mass campaign), $0.48 and $0.82 (routine EPI) and $0.70 and $1.37 (mixed delivery).</t>
    </r>
  </si>
  <si>
    <t>Delivery Type</t>
  </si>
  <si>
    <t>Country</t>
  </si>
  <si>
    <t xml:space="preserve">Estimate </t>
  </si>
  <si>
    <t>Cost USD</t>
  </si>
  <si>
    <t>Cost Year</t>
  </si>
  <si>
    <t>Source</t>
  </si>
  <si>
    <t>Ghana</t>
  </si>
  <si>
    <t>Kenya</t>
  </si>
  <si>
    <t>Malawi</t>
  </si>
  <si>
    <t>cost of delivery per dose (economic recurring)</t>
  </si>
  <si>
    <t>Unit Cost 2025</t>
  </si>
  <si>
    <t>Burkina Faso</t>
  </si>
  <si>
    <t>Mali</t>
  </si>
  <si>
    <t>cost of delivery per dose (economic)</t>
  </si>
  <si>
    <t>Seasonal</t>
  </si>
  <si>
    <t>Hybrid</t>
  </si>
  <si>
    <t>Cost of introducing and delivering malaria vaccine (RTS, S/AS01E) in areas of seasonal malaria transmission, Mali and Burkina Faso. Table 3</t>
  </si>
  <si>
    <t>Cost of introducing and delivering RTS,S/AS01 malaria vaccine within the malaria vaccine implementation program. Table 3</t>
  </si>
  <si>
    <t xml:space="preserve">conversion </t>
  </si>
  <si>
    <t>https://www.in2013dollars.com/us/inflation/2021?amount=1.37</t>
  </si>
  <si>
    <t>Seasonal 3-dose</t>
  </si>
  <si>
    <t xml:space="preserve">Seasonal 4-dose </t>
  </si>
  <si>
    <t>Seasonal 5-dose</t>
  </si>
  <si>
    <t>Seasonal 6-dose</t>
  </si>
  <si>
    <t>Seasonal 7-dose</t>
  </si>
  <si>
    <t>Cost elements</t>
  </si>
  <si>
    <t>Dose cost</t>
  </si>
  <si>
    <t>Consumable cost</t>
  </si>
  <si>
    <t>Deliery cost</t>
  </si>
  <si>
    <t>Total Cost</t>
  </si>
  <si>
    <t>Total intervention cost per full course</t>
  </si>
  <si>
    <t>Hybrid 3-dose</t>
  </si>
  <si>
    <t xml:space="preserve">Hybrid  4-dose </t>
  </si>
  <si>
    <t>Hybrid 5-dose</t>
  </si>
  <si>
    <t>Hybrid 6-dose</t>
  </si>
  <si>
    <t>Hybrid  7-dose</t>
  </si>
  <si>
    <t>Age-based 3-dose</t>
  </si>
  <si>
    <t xml:space="preserve">Age-based  4-dose </t>
  </si>
  <si>
    <t>0.9075 per dose (including delivery)</t>
  </si>
  <si>
    <t>Seasonal SMC (5 cycles)</t>
  </si>
  <si>
    <t>Highly seasonal SMC (4 cycles)</t>
  </si>
  <si>
    <t xml:space="preserve">Total cost </t>
  </si>
  <si>
    <t>Cost element</t>
  </si>
  <si>
    <t>RDT cost</t>
  </si>
  <si>
    <t>Treatment cost per dose</t>
  </si>
  <si>
    <t>Consumable cost per dose</t>
  </si>
  <si>
    <t>Deliery cost per dose</t>
  </si>
  <si>
    <t>Unit cost of dose and delivery per dose</t>
  </si>
  <si>
    <t>Uncomplicated Child Case</t>
  </si>
  <si>
    <t>Uncomplicated Adult Case</t>
  </si>
  <si>
    <t>Outpatient treatment cost per person</t>
  </si>
  <si>
    <t xml:space="preserve">Cost removing representing out of pocket costs </t>
  </si>
  <si>
    <t>Severe Child Case</t>
  </si>
  <si>
    <t>Severe Adult Case</t>
  </si>
  <si>
    <t>Inpatient treatment cost per person</t>
  </si>
  <si>
    <t xml:space="preserve">We could asjust the values above to account for the work by Ranju et al using data and experience from Burkina Faso and Mali </t>
  </si>
  <si>
    <t xml:space="preserve">Gilmartin el al 2021 original data, sourced from Topazian et al </t>
  </si>
  <si>
    <t xml:space="preserve">https://doi.org/10.1016/j.vaccine.2023.04.011  </t>
  </si>
  <si>
    <t>Unit Cost 2021 USD</t>
  </si>
  <si>
    <t>used these values</t>
  </si>
  <si>
    <t>Average Cost per source</t>
  </si>
  <si>
    <t>Average Cost across all sources</t>
  </si>
  <si>
    <t>Averaging data across all studies for Age-based vaccination as a result of the higher cost estimates from the MVIP results in age based schedule that &gt; hybrid which we would assume likely isn't the case in reality? We could just use the values from Diawara et al? But then that is arbitarily deselecting for that higher cost</t>
  </si>
  <si>
    <t>Option 1 - taking population weeighted averages</t>
  </si>
  <si>
    <t>2025 WorldPop population size</t>
  </si>
  <si>
    <t>Population Weight</t>
  </si>
  <si>
    <t>Population Weighted average cost</t>
  </si>
  <si>
    <t>Option 2 using ratio multiplier based on Diawara et al relationships</t>
  </si>
  <si>
    <t>Ratio of cost vs age  based implementation</t>
  </si>
  <si>
    <t>NA</t>
  </si>
  <si>
    <t xml:space="preserve">Seasonal is 2.5 higher </t>
  </si>
  <si>
    <t>Hybrid is 1.6* higher</t>
  </si>
  <si>
    <t>Apply ratio</t>
  </si>
  <si>
    <t xml:space="preserve">The ratio version significantly hilkes the costs of delivery for seasonal and hybrid which given the original data doesn't seem like the best appraoch to me? This is the approach Imperial took for R21 modelling work but I'm hesitatnt to justify this </t>
  </si>
  <si>
    <t>Final Choice</t>
  </si>
  <si>
    <t>Lower limit</t>
  </si>
  <si>
    <t>Upper limit</t>
  </si>
  <si>
    <t>Delivery cost per dose</t>
  </si>
  <si>
    <t>Intervention : Seasonal Vaccination</t>
  </si>
  <si>
    <t>5-doses</t>
  </si>
  <si>
    <t xml:space="preserve">6-doses </t>
  </si>
  <si>
    <t>7-doses</t>
  </si>
  <si>
    <t>Intervention : Hybrid Vaccination</t>
  </si>
  <si>
    <t>Intervention: SMC</t>
  </si>
  <si>
    <t>4-cycles</t>
  </si>
  <si>
    <t>5-cycles</t>
  </si>
  <si>
    <t>Treatment: clinical cases</t>
  </si>
  <si>
    <t>Treatment: severe cases</t>
  </si>
  <si>
    <t>Column1</t>
  </si>
  <si>
    <t>Column2</t>
  </si>
  <si>
    <t>Column3</t>
  </si>
  <si>
    <t>Malaria rapid diagnostic tests</t>
  </si>
  <si>
    <t>Reference Price</t>
  </si>
  <si>
    <t>Price per pack EXW, USD</t>
  </si>
  <si>
    <t>Price per test EXW, USD</t>
  </si>
  <si>
    <t>Malaria Rapid Diagnostic Test Kit - Antigen Pf - 25 tests</t>
  </si>
  <si>
    <t>$ 6.00</t>
  </si>
  <si>
    <t>$ 0.24</t>
  </si>
  <si>
    <t>Malaria Rapid Diagnostic Test kit - Antigen Pf - POCT - 25 x 1 test</t>
  </si>
  <si>
    <t>$ 14.25</t>
  </si>
  <si>
    <t>$ 0.57</t>
  </si>
  <si>
    <t>Malaria Rapid Diagnostic Test Kit - Antigen Pf HRP2/pLDH - 25 tests</t>
  </si>
  <si>
    <t>$ 10.00</t>
  </si>
  <si>
    <t>$ 0.40</t>
  </si>
  <si>
    <t>Malaria Rapid Diagnostic Test Kit - Antigen Pf pLDH - 25 tests</t>
  </si>
  <si>
    <t>Malaria Rapid Diagnostic Test Kit - Antigen Pf / Pv - 25 tests</t>
  </si>
  <si>
    <t>$ 8.75</t>
  </si>
  <si>
    <t>$ 0.35</t>
  </si>
  <si>
    <t>Malaria Rapid Diagnostic Test Kit - Antigen Pf / Pv - POCT - 25 x 1 test</t>
  </si>
  <si>
    <t>$ 16.25</t>
  </si>
  <si>
    <t>$ 0.65</t>
  </si>
  <si>
    <t>Malaria Rapid Diagnostic Test Kit - Antigen Pf / Pan - 25 tests</t>
  </si>
  <si>
    <t>$ 9.00</t>
  </si>
  <si>
    <t>$ 0.36</t>
  </si>
  <si>
    <t>Malaria Rapid Diagnostic Test Kit - Antigen Pf/Pan - POCT - 25 x 1 test</t>
  </si>
  <si>
    <t>Column4</t>
  </si>
  <si>
    <t>Pooled Procurement Mechanism Reference Pricing: Antimalarial medicines</t>
  </si>
  <si>
    <t>(version: quarter 2 2025)</t>
  </si>
  <si>
    <t>Column5</t>
  </si>
  <si>
    <t>Column6</t>
  </si>
  <si>
    <t>Column7</t>
  </si>
  <si>
    <t>The Global Fund has established Framework Agreements with manufacturers of antimalarial medicines artemisinin-based combination therapy and other antimalarials medicines with the aim to achieve lower prices -</t>
  </si>
  <si>
    <t>and also ensure the sustainable and reliable on-time supply of the full range of the needed antimalarial medicines.</t>
  </si>
  <si>
    <t>The Pooled Procurement Mechanism (PPM) aims to deliver the orders for the following antimalarial medicines at or below reference pricing below. These prices should be used for budgeting purposes and will be used</t>
  </si>
  <si>
    <t>on all PPM Price Quotes.</t>
  </si>
  <si>
    <t>Actual prices achieved for a grant will depend on how early the orders (&gt; 5 months) are placed by Principal Recipients - and additionally the achievement of certain volume thresholds through the pooled volumes
enable us to achieve negotiated prices through the mechanism. Actual prices achieved will be charged to the grant.</t>
  </si>
  <si>
    <t>to</t>
  </si>
  <si>
    <t>Note that pricing for some items may not be available for some countries due to patent or licensing restrictions.</t>
  </si>
  <si>
    <t>Some non-optimal products/formulations/pack-sizes have been removed from this version of the reference price list: pricing can be provided on request should the product still be commercially available.</t>
  </si>
  <si>
    <t>Product Description</t>
  </si>
  <si>
    <t>Reference price US$
per pack</t>
  </si>
  <si>
    <t>Reference price US$ per
treatment</t>
  </si>
  <si>
    <t>Antimalarial medicines</t>
  </si>
  <si>
    <t>Artemether/Lumefantrine 20/120mg dispersible tablet, blister of 6 dispersible tablets, pack of 30 blisters</t>
  </si>
  <si>
    <t>$</t>
  </si>
  <si>
    <t>0.21</t>
  </si>
  <si>
    <t>Artemether/Lumefantrine 20/120mg dispersible tablet, blister of 12 dispersible tablets, pack of 30 blisters</t>
  </si>
  <si>
    <t>0.36</t>
  </si>
  <si>
    <t>Artemether/Lumefantrine 20/120mg tablet, blister of 18 tablets, pack of 30 blisters</t>
  </si>
  <si>
    <t>0.49</t>
  </si>
  <si>
    <t>Artemether/Lumefantrine 20/120mg tablet, blister of 24 tablets, pack of 30 blisters</t>
  </si>
  <si>
    <t>0.55</t>
  </si>
  <si>
    <t>Artemether/Lumefantrine 40/240mg tablet, blister of 6 tablets, pack of 30 blisters</t>
  </si>
  <si>
    <t>0.33</t>
  </si>
  <si>
    <t>Artemether/Lumefantrine 60/360mg tablet, blister of 6 tablets,</t>
  </si>
  <si>
    <t>pack of 30 blisters</t>
  </si>
  <si>
    <t>0.50</t>
  </si>
  <si>
    <t>Artemether/Lumefantrine 80/480mg tablet, blister of 6 tablets, pack of 30 blisters</t>
  </si>
  <si>
    <t>0.60</t>
  </si>
  <si>
    <t>Amodiaquine hydrochloride/Artesunate 67.5/25mg tablet, blister of 3 tablets, pack of 25 blisters</t>
  </si>
  <si>
    <t>0.17</t>
  </si>
  <si>
    <t>Amodiaquine hydrochloride/Artesunate 135/50mg tablet, blister of 3 tablets, pack of 25 blisters</t>
  </si>
  <si>
    <t>0.23</t>
  </si>
  <si>
    <t>Amodiaquine hydrochloride/Artesunate 270/100mg tablet, blister of 3 tablets, pack of 25 blisters</t>
  </si>
  <si>
    <t>0.39</t>
  </si>
  <si>
    <t>Amodiaquine hydrochloride/Artesunate 270/100mg tablet, blister of 6 tablets, pack of 25 blisters</t>
  </si>
  <si>
    <t>0.67</t>
  </si>
  <si>
    <t>Artesunate 30mg powder for solution for injection, vial, pack of 1 vial</t>
  </si>
  <si>
    <t>-</t>
  </si>
  <si>
    <t>Artesunate 60mg powder for solution for injection, vial, pack of 1 vial</t>
  </si>
  <si>
    <t>Artesunate 120mg powder for solution for injection, vial, pack of 1 vial</t>
  </si>
  <si>
    <t>Artesunate 100mg suppository, pack of 2 suppositories</t>
  </si>
  <si>
    <t>0.70</t>
  </si>
  <si>
    <t>Amodiaquine hydrochloride + Pyrimethamine/Sulfadoxine 153mg + 25/500mg dispersible tablet, co-blister of 3+1 dispersible tablet, pack of 50 co-blisters</t>
  </si>
  <si>
    <t>0.28</t>
  </si>
  <si>
    <t>Amodiaquine hydrochloride + Pyrimethamine/Sulfadoxine 76.5mg + 12.5/250mg dispersible tablet, co-blister of 3+1 dispersible tablet, pack of 50 co-blisters</t>
  </si>
  <si>
    <t>0.25</t>
  </si>
  <si>
    <t>Artesunate/Pyronaridine 20/60mg oral granules sachet, pack of 90 sachet</t>
  </si>
  <si>
    <t>- (5 to 8kg &gt; 3x1 sachet)</t>
  </si>
  <si>
    <t>0.41</t>
  </si>
  <si>
    <t>Artesunate/Pyronaridine 20/60mg oral granules sachet, pack of 90 sachet - (8 to 15kg &gt; 3x2 sachet)</t>
  </si>
  <si>
    <t>0.81</t>
  </si>
  <si>
    <t>Artesunate/Pyronaridine 20/60mg oral granules sachet, pack of 90 sachet - (15 to 20kg &gt; 3x3 sachet)</t>
  </si>
  <si>
    <t>1.22</t>
  </si>
  <si>
    <t>Artesunate/Pyronaridine 60/180mg tablet 9 tablet 10 blister</t>
  </si>
  <si>
    <t>- (3x1) - 20 to 24kg</t>
  </si>
  <si>
    <t>0.68</t>
  </si>
  <si>
    <t>Artesunate/Pyronaridine 60/180mg tablet 9 tablet 10 blister - (3x2) - 24 to 45kg</t>
  </si>
  <si>
    <t>1.36</t>
  </si>
  <si>
    <t>Artesunate/Pyronaridine 60/180mg tablet 9 tablet 10 blister - (3x3) - 45 to 65kg</t>
  </si>
  <si>
    <t>2.04</t>
  </si>
  <si>
    <t>Artesunate/Pyronaridine 60/180mg tablet 9 tablet 10 blister - (3x4) - ≥65kg</t>
  </si>
  <si>
    <t>2.73</t>
  </si>
  <si>
    <t>Primaquine 15mg (as base) (equivalent to 26.4mg Primaquine Phosphate) tablet, blister of 10 tablets, pack of 10 blisters</t>
  </si>
  <si>
    <t>Quinine sulfate 300mg tablet, blister of 14 tablets, pack of 2 blisters</t>
  </si>
  <si>
    <t>Pyrimethamine/Sulfadoxine 25/500mg tablet, blister of 3 tablets, pack of 10 blisters</t>
  </si>
  <si>
    <t>0.30</t>
  </si>
  <si>
    <t>Pyrimethamine/Sulfadoxine 25/500mg tablet, blister of 3 tablets, pack of 50 blisters</t>
  </si>
  <si>
    <t>Pyrimethamine/Sulfadoxine 25/500mg tablet, blister of 3 tablets, pack of 100 blisters</t>
  </si>
  <si>
    <t>Pyrimethamine/Sulfadoxine 25/500mg tablet, bottle of 100 tablets</t>
  </si>
  <si>
    <t>Pyrimethamine/Sulfadoxine 25/500mg tablet, bottle of 1000 tablets</t>
  </si>
  <si>
    <t>Pyrimethamine/Sulfadoxine 12.5/250mg dispersible tablet, blister of 3 dispersible tablets, pack of 50 blisters</t>
  </si>
  <si>
    <t>0.35</t>
  </si>
  <si>
    <t>Pyrimethamine/Sulfadoxine 12.5/250mg dispersible tablet, blister of 3 dispersible tablets, pack of 25 blisters</t>
  </si>
  <si>
    <t>Pyrimethamine/Sulfadoxine 12.5/250mg dispersible tablet, blister of 3 dispersible tablets, pack of 10 blisters</t>
  </si>
  <si>
    <t>0.34</t>
  </si>
  <si>
    <t>Pyrimethamine/Sulfadoxine 12.5/250mg dispersible tablet, blister of 3 dispersible tablets, pack of 100 blisters</t>
  </si>
  <si>
    <t>Dihydroartemisinin/Piperaquine phosphate 20/160mg dispersible tablet, blister of 3 dispersible tablets, pack of 2 blisters</t>
  </si>
  <si>
    <t>0.83</t>
  </si>
  <si>
    <t>Dihydroartemisinin/Piperaquine phosphate 20/160mg dispersible tablet, blister of 3 dispersible tablets, pack of 25 blisters</t>
  </si>
  <si>
    <t>0.82</t>
  </si>
  <si>
    <t>Dihydroartemisinin/Piperaquine phosphate 30/240mg dispersible tablet, blister of 3 dispersible tablets, pack of 2 blisters</t>
  </si>
  <si>
    <t>1.17</t>
  </si>
  <si>
    <t>Dihydroartemisinin/Piperaquine phosphate 30/240mg dispersible tablet, blister of 3 dispersible tablets, pack of 25 blisters</t>
  </si>
  <si>
    <t>1.16</t>
  </si>
  <si>
    <t>Dihydroartemisinin/Piperaquine phosphate 40/320mg tablet, blister of 9 tablets, pack of 1 blister</t>
  </si>
  <si>
    <t>1.46</t>
  </si>
  <si>
    <t>Dihydroartemisinin/Piperaquine phosphate 40/320mg tablet, blister of 9 tablets, pack of 25 blisters</t>
  </si>
  <si>
    <t>Dihydroartemisinin/Piperaquine phosphate 40/320mg dispersible tablet, blister of 3 dispersible tablets, pack of 2 blisters</t>
  </si>
  <si>
    <t>1.26</t>
  </si>
  <si>
    <t>Dihydroartemisinin/Piperaquine phosphate 40/320mg dispersible tablet, blister of 3 dispersible tablets, pack of 25 blisters</t>
  </si>
  <si>
    <t>Dihydroartemisinin/Piperaquine phosphate 60/480mg tablet, blister of 6 tablets, pack of 25 blisters</t>
  </si>
  <si>
    <t>1.45</t>
  </si>
  <si>
    <t>Intervention: Seasonal Vaccination</t>
  </si>
  <si>
    <t>6-doses</t>
  </si>
  <si>
    <t>Intervention: Hybrid Vaccination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</si>
</sst>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
  </numFmts>
  <fonts count="17"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theme="4" tint="-0.249977111117893"/>
      <name val="Aptos Narrow"/>
      <family val="2"/>
      <scheme val="minor"/>
    </font>
    <font>
      <b/>
      <sz val="11"/>
      <color rgb="FF000000"/>
      <name val="Arial"/>
      <family val="2"/>
    </font>
    <font>
      <sz val="11"/>
      <name val="Aptos Narrow"/>
      <family val="2"/>
      <scheme val="minor"/>
    </font>
    <font>
      <sz val="10"/>
      <color rgb="FF202020"/>
      <name val="Arial"/>
      <family val="2"/>
    </font>
    <font>
      <b/>
      <sz val="16"/>
      <color theme="1"/>
      <name val="Aptos Narrow"/>
      <family val="2"/>
      <scheme val="minor"/>
    </font>
    <font>
      <b/>
      <sz val="11"/>
      <color theme="1"/>
      <name val="Calibri"/>
      <family val="2"/>
    </font>
    <font>
      <sz val="11"/>
      <color theme="1"/>
      <name val="Aptos Narrow"/>
      <family val="2"/>
      <scheme val="minor"/>
    </font>
    <font>
      <sz val="8"/>
      <name val="Aptos Narrow"/>
      <family val="2"/>
      <scheme val="minor"/>
    </font>
    <font>
      <b/>
      <sz val="11"/>
      <color rgb="FF000000"/>
      <name val="Aptos Narrow"/>
      <family val="2"/>
    </font>
    <font>
      <sz val="11"/>
      <color rgb="FF000000"/>
      <name val="Aptos Narrow"/>
      <family val="2"/>
    </font>
    <font>
      <sz val="11"/>
      <color theme="1"/>
      <name val="Arial"/>
      <family val="2"/>
    </font>
    <font>
      <b/>
      <sz val="10"/>
      <color rgb="FF000000"/>
      <name val="Aptos Narrow"/>
      <family val="2"/>
    </font>
    <font>
      <sz val="10"/>
      <color rgb="FF000000"/>
      <name val="Aptos Narrow"/>
      <family val="2"/>
    </font>
  </fonts>
  <fills count="7">
    <fill>
      <patternFill patternType="none"/>
    </fill>
    <fill>
      <patternFill patternType="gray125"/>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FF00"/>
        <bgColor indexed="64"/>
      </patternFill>
    </fill>
    <fill>
      <patternFill patternType="solid">
        <fgColor rgb="FFD7DAE2"/>
        <bgColor indexed="64"/>
      </patternFill>
    </fill>
  </fills>
  <borders count="13">
    <border>
      <left/>
      <right/>
      <top/>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7">
    <xf numFmtId="0" fontId="0" fillId="0" borderId="0"/>
    <xf numFmtId="0" fontId="3" fillId="0" borderId="0" applyNumberFormat="0" applyFill="0" applyBorder="0" applyAlignment="0" applyProtection="0"/>
    <xf numFmtId="44" fontId="10" fillId="0" borderId="0" applyFont="0" applyFill="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43" fontId="10" fillId="0" borderId="0" applyFont="0" applyFill="0" applyBorder="0" applyAlignment="0" applyProtection="0"/>
  </cellStyleXfs>
  <cellXfs count="109">
    <xf numFmtId="0" fontId="0" fillId="0" borderId="0" xfId="0"/>
    <xf numFmtId="0" fontId="0" fillId="0" borderId="0" xfId="0" applyAlignment="1">
      <alignment wrapText="1"/>
    </xf>
    <xf numFmtId="6" fontId="0" fillId="0" borderId="0" xfId="0" applyNumberFormat="1"/>
    <xf numFmtId="9" fontId="0" fillId="0" borderId="0" xfId="0" applyNumberFormat="1"/>
    <xf numFmtId="0" fontId="0" fillId="0" borderId="0" xfId="0" applyAlignment="1">
      <alignment horizontal="center"/>
    </xf>
    <xf numFmtId="8" fontId="0" fillId="0" borderId="0" xfId="0" applyNumberFormat="1"/>
    <xf numFmtId="164" fontId="0" fillId="0" borderId="0" xfId="0" applyNumberFormat="1"/>
    <xf numFmtId="0" fontId="0" fillId="0" borderId="0" xfId="0" applyAlignment="1">
      <alignment horizontal="left"/>
    </xf>
    <xf numFmtId="0" fontId="3" fillId="0" borderId="0" xfId="1" applyAlignment="1">
      <alignment horizontal="left"/>
    </xf>
    <xf numFmtId="0" fontId="2" fillId="0" borderId="0" xfId="0" applyFont="1"/>
    <xf numFmtId="8" fontId="2" fillId="0" borderId="0" xfId="0" applyNumberFormat="1" applyFont="1"/>
    <xf numFmtId="0" fontId="3" fillId="0" borderId="0" xfId="1" applyAlignment="1">
      <alignment vertical="center"/>
    </xf>
    <xf numFmtId="0" fontId="4" fillId="0" borderId="0" xfId="0" applyFont="1"/>
    <xf numFmtId="0" fontId="5" fillId="0" borderId="0" xfId="0" applyFont="1" applyAlignment="1">
      <alignment horizontal="left" vertical="center" readingOrder="1"/>
    </xf>
    <xf numFmtId="8" fontId="1" fillId="0" borderId="0" xfId="0" applyNumberFormat="1" applyFont="1"/>
    <xf numFmtId="164" fontId="4" fillId="0" borderId="0" xfId="0" applyNumberFormat="1" applyFont="1"/>
    <xf numFmtId="164" fontId="6" fillId="0" borderId="0" xfId="0" applyNumberFormat="1" applyFont="1"/>
    <xf numFmtId="8" fontId="6" fillId="0" borderId="0" xfId="0" applyNumberFormat="1" applyFont="1"/>
    <xf numFmtId="9" fontId="6" fillId="0" borderId="0" xfId="0" applyNumberFormat="1" applyFont="1"/>
    <xf numFmtId="165" fontId="6" fillId="0" borderId="0" xfId="0" applyNumberFormat="1" applyFont="1"/>
    <xf numFmtId="0" fontId="3" fillId="0" borderId="0" xfId="1"/>
    <xf numFmtId="0" fontId="7" fillId="0" borderId="0" xfId="0" applyFont="1"/>
    <xf numFmtId="0" fontId="2" fillId="0" borderId="0" xfId="0" applyFont="1" applyAlignment="1">
      <alignment wrapText="1"/>
    </xf>
    <xf numFmtId="0" fontId="2" fillId="0" borderId="1" xfId="0" applyFont="1" applyBorder="1"/>
    <xf numFmtId="0" fontId="0" fillId="0" borderId="1" xfId="0" applyBorder="1"/>
    <xf numFmtId="0" fontId="8" fillId="0" borderId="0" xfId="0" applyFont="1"/>
    <xf numFmtId="0" fontId="2" fillId="0" borderId="2" xfId="0" applyFont="1" applyBorder="1"/>
    <xf numFmtId="0" fontId="9" fillId="0" borderId="0" xfId="0" applyFont="1" applyAlignment="1">
      <alignment vertical="center" wrapText="1"/>
    </xf>
    <xf numFmtId="0" fontId="2" fillId="0" borderId="2" xfId="0" applyFont="1" applyBorder="1" applyAlignment="1">
      <alignment wrapText="1"/>
    </xf>
    <xf numFmtId="164" fontId="0" fillId="0" borderId="1" xfId="0" applyNumberFormat="1" applyBorder="1"/>
    <xf numFmtId="164" fontId="2" fillId="0" borderId="0" xfId="0" applyNumberFormat="1" applyFont="1"/>
    <xf numFmtId="0" fontId="9" fillId="0" borderId="0" xfId="0" applyFont="1" applyAlignment="1">
      <alignment horizontal="center" vertical="center" wrapText="1"/>
    </xf>
    <xf numFmtId="0" fontId="9" fillId="0" borderId="0" xfId="0" applyFont="1" applyAlignment="1">
      <alignment wrapText="1"/>
    </xf>
    <xf numFmtId="0" fontId="0" fillId="5" borderId="0" xfId="0" applyFill="1"/>
    <xf numFmtId="0" fontId="10" fillId="3" borderId="0" xfId="4"/>
    <xf numFmtId="0" fontId="10" fillId="3" borderId="3" xfId="4" applyBorder="1"/>
    <xf numFmtId="0" fontId="10" fillId="3" borderId="4" xfId="4" applyBorder="1"/>
    <xf numFmtId="2" fontId="10" fillId="3" borderId="0" xfId="4" applyNumberFormat="1"/>
    <xf numFmtId="0" fontId="10" fillId="2" borderId="3" xfId="3" applyBorder="1"/>
    <xf numFmtId="0" fontId="10" fillId="2" borderId="4" xfId="3" applyBorder="1"/>
    <xf numFmtId="0" fontId="10" fillId="2" borderId="0" xfId="3" applyBorder="1"/>
    <xf numFmtId="0" fontId="10" fillId="4" borderId="3" xfId="5" applyBorder="1"/>
    <xf numFmtId="0" fontId="10" fillId="4" borderId="4" xfId="5" applyBorder="1"/>
    <xf numFmtId="0" fontId="10" fillId="4" borderId="0" xfId="5" applyBorder="1"/>
    <xf numFmtId="0" fontId="2" fillId="0" borderId="5" xfId="0" applyFont="1" applyBorder="1"/>
    <xf numFmtId="0" fontId="2" fillId="0" borderId="6" xfId="0" applyFont="1" applyBorder="1"/>
    <xf numFmtId="0" fontId="10" fillId="3" borderId="0" xfId="4" applyBorder="1"/>
    <xf numFmtId="0" fontId="2" fillId="0" borderId="6" xfId="0" applyFont="1" applyBorder="1" applyAlignment="1">
      <alignment wrapText="1"/>
    </xf>
    <xf numFmtId="0" fontId="10" fillId="2" borderId="0" xfId="3"/>
    <xf numFmtId="0" fontId="10" fillId="4" borderId="0" xfId="5"/>
    <xf numFmtId="2" fontId="10" fillId="2" borderId="0" xfId="3" applyNumberFormat="1"/>
    <xf numFmtId="2" fontId="10" fillId="4" borderId="0" xfId="5" applyNumberFormat="1"/>
    <xf numFmtId="164" fontId="10" fillId="3" borderId="0" xfId="4" applyNumberFormat="1"/>
    <xf numFmtId="164" fontId="10" fillId="3" borderId="3" xfId="4" applyNumberFormat="1" applyBorder="1"/>
    <xf numFmtId="164" fontId="10" fillId="3" borderId="4" xfId="4" applyNumberFormat="1" applyBorder="1"/>
    <xf numFmtId="164" fontId="10" fillId="2" borderId="3" xfId="3" applyNumberFormat="1" applyBorder="1"/>
    <xf numFmtId="164" fontId="10" fillId="2" borderId="4" xfId="3" applyNumberFormat="1" applyBorder="1"/>
    <xf numFmtId="164" fontId="10" fillId="4" borderId="3" xfId="5" applyNumberFormat="1" applyBorder="1"/>
    <xf numFmtId="164" fontId="10" fillId="4" borderId="4" xfId="5" applyNumberFormat="1" applyBorder="1"/>
    <xf numFmtId="164" fontId="10" fillId="2" borderId="0" xfId="3" applyNumberFormat="1" applyBorder="1"/>
    <xf numFmtId="164" fontId="10" fillId="4" borderId="0" xfId="5" applyNumberFormat="1" applyBorder="1"/>
    <xf numFmtId="164" fontId="10" fillId="3" borderId="0" xfId="4" applyNumberFormat="1" applyBorder="1"/>
    <xf numFmtId="164" fontId="10" fillId="2" borderId="0" xfId="3" applyNumberFormat="1"/>
    <xf numFmtId="164" fontId="10" fillId="4" borderId="0" xfId="5" applyNumberFormat="1"/>
    <xf numFmtId="164" fontId="10" fillId="3" borderId="0" xfId="2" applyNumberFormat="1" applyFill="1"/>
    <xf numFmtId="164" fontId="10" fillId="2" borderId="0" xfId="2" applyNumberFormat="1" applyFill="1"/>
    <xf numFmtId="2" fontId="0" fillId="0" borderId="0" xfId="0" applyNumberFormat="1"/>
    <xf numFmtId="44" fontId="0" fillId="0" borderId="1" xfId="2" applyFont="1" applyBorder="1"/>
    <xf numFmtId="43" fontId="0" fillId="0" borderId="1" xfId="6" applyFont="1" applyBorder="1"/>
    <xf numFmtId="2" fontId="0" fillId="0" borderId="1" xfId="2" applyNumberFormat="1" applyFont="1" applyBorder="1"/>
    <xf numFmtId="0" fontId="12" fillId="0" borderId="0" xfId="0" applyFont="1" applyAlignment="1">
      <alignment vertical="center"/>
    </xf>
    <xf numFmtId="0" fontId="13" fillId="0" borderId="0" xfId="0" applyFont="1" applyAlignment="1">
      <alignment horizontal="right" vertical="center"/>
    </xf>
    <xf numFmtId="2" fontId="0" fillId="0" borderId="0" xfId="2" applyNumberFormat="1" applyFont="1" applyBorder="1"/>
    <xf numFmtId="0" fontId="13" fillId="0" borderId="0" xfId="0" applyFont="1" applyAlignment="1">
      <alignment vertical="center"/>
    </xf>
    <xf numFmtId="0" fontId="10" fillId="4" borderId="3" xfId="5" applyBorder="1" applyAlignment="1">
      <alignment horizontal="center" wrapText="1"/>
    </xf>
    <xf numFmtId="0" fontId="10" fillId="4" borderId="4" xfId="5" applyBorder="1" applyAlignment="1">
      <alignment horizont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wrapText="1"/>
    </xf>
    <xf numFmtId="0" fontId="10" fillId="3" borderId="0" xfId="4" applyBorder="1" applyAlignment="1">
      <alignment horizontal="center" vertical="top"/>
    </xf>
    <xf numFmtId="0" fontId="10" fillId="3" borderId="4" xfId="4" applyBorder="1" applyAlignment="1">
      <alignment horizontal="center" vertical="top"/>
    </xf>
    <xf numFmtId="0" fontId="10" fillId="2" borderId="0" xfId="3" applyBorder="1" applyAlignment="1">
      <alignment horizontal="center" vertical="top"/>
    </xf>
    <xf numFmtId="0" fontId="10" fillId="2" borderId="4" xfId="3" applyBorder="1" applyAlignment="1">
      <alignment horizontal="center" vertical="top"/>
    </xf>
    <xf numFmtId="0" fontId="10" fillId="4" borderId="3" xfId="5" applyBorder="1" applyAlignment="1">
      <alignment horizontal="center" vertical="top"/>
    </xf>
    <xf numFmtId="0" fontId="10" fillId="4" borderId="4" xfId="5" applyBorder="1" applyAlignment="1">
      <alignment horizontal="center" vertical="top"/>
    </xf>
    <xf numFmtId="0" fontId="10" fillId="3" borderId="0" xfId="4" applyAlignment="1">
      <alignment horizontal="center" wrapText="1"/>
    </xf>
    <xf numFmtId="0" fontId="0" fillId="0" borderId="0" xfId="0" applyAlignment="1">
      <alignment horizontal="center" wrapText="1"/>
    </xf>
    <xf numFmtId="0" fontId="10" fillId="3" borderId="3" xfId="4" applyBorder="1" applyAlignment="1">
      <alignment horizontal="center" wrapText="1"/>
    </xf>
    <xf numFmtId="0" fontId="10" fillId="3" borderId="4" xfId="4" applyBorder="1" applyAlignment="1">
      <alignment horizontal="center" wrapText="1"/>
    </xf>
    <xf numFmtId="0" fontId="10" fillId="2" borderId="3" xfId="3" applyBorder="1" applyAlignment="1">
      <alignment horizontal="center" wrapText="1"/>
    </xf>
    <xf numFmtId="0" fontId="10" fillId="2" borderId="4" xfId="3" applyBorder="1" applyAlignment="1">
      <alignment horizontal="center" wrapText="1"/>
    </xf>
    <xf numFmtId="0" fontId="2" fillId="0" borderId="4" xfId="0" applyFont="1" applyBorder="1" applyAlignment="1">
      <alignment horizontal="center" wrapText="1"/>
    </xf>
    <xf numFmtId="0" fontId="2" fillId="0" borderId="6" xfId="0" applyFont="1" applyBorder="1" applyAlignment="1">
      <alignment horizontal="center" wrapText="1"/>
    </xf>
    <xf numFmtId="0" fontId="0" fillId="0" borderId="7" xfId="0" applyBorder="1" applyAlignment="1">
      <alignment horizontal="center" vertical="top" wrapText="1"/>
    </xf>
    <xf numFmtId="0" fontId="0" fillId="0" borderId="0" xfId="0" applyAlignment="1">
      <alignment horizontal="center" vertical="top" wrapText="1"/>
    </xf>
    <xf numFmtId="0" fontId="2" fillId="0" borderId="0" xfId="0" applyFont="1" applyAlignment="1">
      <alignment horizontal="center"/>
    </xf>
    <xf numFmtId="0" fontId="12" fillId="0" borderId="0" xfId="0" applyFont="1" applyAlignment="1">
      <alignment horizontal="center" vertical="center"/>
    </xf>
    <xf numFmtId="0" fontId="16" fillId="0" borderId="12" xfId="0" applyFont="1" applyBorder="1" applyAlignment="1">
      <alignment horizontal="center" vertical="center" wrapText="1"/>
    </xf>
    <xf numFmtId="0" fontId="16" fillId="0" borderId="12" xfId="0" applyFont="1" applyBorder="1" applyAlignment="1">
      <alignment horizontal="center" vertical="center"/>
    </xf>
    <xf numFmtId="0" fontId="15" fillId="6" borderId="8" xfId="0" applyFont="1" applyFill="1" applyBorder="1" applyAlignment="1">
      <alignment horizontal="center" vertical="center"/>
    </xf>
    <xf numFmtId="0" fontId="15" fillId="6" borderId="9" xfId="0" applyFont="1" applyFill="1" applyBorder="1" applyAlignment="1">
      <alignment horizontal="center" vertical="center"/>
    </xf>
    <xf numFmtId="0" fontId="15" fillId="6" borderId="10" xfId="0" applyFont="1" applyFill="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4" fillId="0" borderId="11" xfId="0" applyFont="1" applyBorder="1" applyAlignment="1">
      <alignment vertical="top"/>
    </xf>
    <xf numFmtId="0" fontId="16" fillId="0" borderId="11" xfId="0" applyFont="1" applyBorder="1" applyAlignment="1">
      <alignment vertical="center"/>
    </xf>
    <xf numFmtId="0" fontId="15" fillId="0" borderId="11" xfId="0" applyFont="1" applyBorder="1" applyAlignment="1">
      <alignment vertical="center"/>
    </xf>
    <xf numFmtId="2" fontId="16" fillId="0" borderId="12" xfId="0" applyNumberFormat="1" applyFont="1" applyBorder="1" applyAlignment="1">
      <alignment horizontal="center" vertical="center"/>
    </xf>
  </cellXfs>
  <cellStyles count="7">
    <cellStyle name="20% - Accent4" xfId="3" builtinId="42"/>
    <cellStyle name="20% - Accent5" xfId="4" builtinId="46"/>
    <cellStyle name="20% - Accent6" xfId="5" builtinId="50"/>
    <cellStyle name="Comma" xfId="6" builtinId="3"/>
    <cellStyle name="Currency" xfId="2" builtinId="4"/>
    <cellStyle name="Hyperlink" xfId="1" builtinId="8"/>
    <cellStyle name="Normal" xfId="0" builtinId="0"/>
  </cellStyles>
  <dxfs count="27">
    <dxf>
      <font>
        <b val="0"/>
        <i val="0"/>
        <strike val="0"/>
        <condense val="0"/>
        <extend val="0"/>
        <outline val="0"/>
        <shadow val="0"/>
        <u val="none"/>
        <vertAlign val="baseline"/>
        <sz val="11"/>
        <color theme="4" tint="-0.249977111117893"/>
        <name val="Aptos Narrow"/>
        <family val="2"/>
        <scheme val="minor"/>
      </font>
    </dxf>
    <dxf>
      <font>
        <b val="0"/>
        <i val="0"/>
        <strike val="0"/>
        <condense val="0"/>
        <extend val="0"/>
        <outline val="0"/>
        <shadow val="0"/>
        <u val="none"/>
        <vertAlign val="baseline"/>
        <sz val="11"/>
        <color theme="4" tint="-0.249977111117893"/>
        <name val="Aptos Narrow"/>
        <family val="2"/>
        <scheme val="minor"/>
      </font>
    </dxf>
    <dxf>
      <numFmt numFmtId="12" formatCode="&quot;$&quot;#,##0.00_);[Red]\(&quot;$&quot;#,##0.00\)"/>
    </dxf>
    <dxf>
      <font>
        <b/>
        <i val="0"/>
        <strike val="0"/>
        <condense val="0"/>
        <extend val="0"/>
        <outline val="0"/>
        <shadow val="0"/>
        <u val="none"/>
        <vertAlign val="baseline"/>
        <sz val="11"/>
        <color theme="1"/>
        <name val="Aptos Narrow"/>
        <family val="2"/>
        <scheme val="minor"/>
      </font>
      <numFmt numFmtId="164" formatCode="&quot;$&quot;#,##0.00"/>
    </dxf>
    <dxf>
      <font>
        <b val="0"/>
        <i val="0"/>
        <strike val="0"/>
        <condense val="0"/>
        <extend val="0"/>
        <outline val="0"/>
        <shadow val="0"/>
        <u val="none"/>
        <vertAlign val="baseline"/>
        <sz val="11"/>
        <color theme="4" tint="-0.249977111117893"/>
        <name val="Aptos Narrow"/>
        <family val="2"/>
        <scheme val="minor"/>
      </font>
    </dxf>
    <dxf>
      <font>
        <b val="0"/>
        <i val="0"/>
        <strike val="0"/>
        <condense val="0"/>
        <extend val="0"/>
        <outline val="0"/>
        <shadow val="0"/>
        <u val="none"/>
        <vertAlign val="baseline"/>
        <sz val="11"/>
        <color theme="4" tint="-0.249977111117893"/>
        <name val="Aptos Narrow"/>
        <family val="2"/>
        <scheme val="minor"/>
      </font>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2" formatCode="&quot;$&quot;#,##0.00_);[Red]\(&quot;$&quot;#,##0.00\)"/>
    </dxf>
    <dxf>
      <numFmt numFmtId="164" formatCode="&quot;$&quot;#,##0.00"/>
    </dxf>
    <dxf>
      <numFmt numFmtId="164" formatCode="&quot;$&quot;#,##0.00"/>
    </dxf>
    <dxf>
      <alignment horizontal="general" vertical="bottom" textRotation="0" wrapText="1" indent="0" justifyLastLine="0" shrinkToFit="0" readingOrder="0"/>
    </dxf>
    <dxf>
      <numFmt numFmtId="12" formatCode="&quot;$&quot;#,##0.00_);[Red]\(&quot;$&quot;#,##0.00\)"/>
    </dxf>
    <dxf>
      <numFmt numFmtId="12" formatCode="&quot;$&quot;#,##0.00_);[Red]\(&quot;$&quot;#,##0.00\)"/>
    </dxf>
    <dxf>
      <numFmt numFmtId="164" formatCode="&quot;$&quot;#,##0.00"/>
    </dxf>
    <dxf>
      <numFmt numFmtId="164" formatCode="&quot;$&quot;#,##0.00"/>
    </dxf>
    <dxf>
      <numFmt numFmtId="164" formatCode="&quot;$&quot;#,##0.00"/>
    </dxf>
    <dxf>
      <numFmt numFmtId="164" formatCode="&quot;$&quot;#,##0.0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1CCC8F2-E360-4A6C-B0D9-D7ECE98DF2B7}" autoFormatId="16" applyNumberFormats="0" applyBorderFormats="0" applyFontFormats="0" applyPatternFormats="0" applyAlignmentFormats="0" applyWidthHeightFormats="0">
  <queryTableRefresh nextId="8">
    <queryTableFields count="7">
      <queryTableField id="1" name="Pooled Procurement Mechanism Reference Pricing: Antimalarial medicines" tableColumnId="1"/>
      <queryTableField id="2" name="Column2" tableColumnId="2"/>
      <queryTableField id="3" name="(version: quarter 2 2025)"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0D9ABAD-8239-4938-88B9-83F15FF5C378}" autoFormatId="16" applyNumberFormats="0" applyBorderFormats="0" applyFontFormats="0" applyPatternFormats="0" applyAlignmentFormats="0" applyWidthHeightFormats="0">
  <queryTableRefresh nextId="5" unboundColumnsRight="1">
    <queryTableFields count="4">
      <queryTableField id="1" name="Column1" tableColumnId="1"/>
      <queryTableField id="2" name="Column2" tableColumnId="2"/>
      <queryTableField id="3" name="Column3" tableColumnId="3"/>
      <queryTableField id="4" dataBound="0" tableColumnId="4"/>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A8EA4-CC53-48EC-B326-C576168307D5}" name="Table1" displayName="Table1" ref="A6:H16" totalsRowCount="1" headerRowDxfId="26">
  <autoFilter ref="A6:H15" xr:uid="{22BA8EA4-CC53-48EC-B326-C576168307D5}"/>
  <tableColumns count="8">
    <tableColumn id="1" xr3:uid="{BAA036B7-3B59-40D2-ACEE-A1CDF83DD426}" name="Input"/>
    <tableColumn id="2" xr3:uid="{44189B88-C1EA-444B-AD13-58B96A5B8049}" name="Price (% or 2013 USD)"/>
    <tableColumn id="3" xr3:uid="{11FE23FA-388C-48FD-B380-7678B4653756}" name="Unit cost 2025 USD" dataDxfId="25" totalsRowDxfId="24"/>
    <tableColumn id="4" xr3:uid="{0799C817-C230-420D-A403-62A6B23B5A9D}" name="Quantity "/>
    <tableColumn id="5" xr3:uid="{A824F177-BB86-477E-9922-91131849F4C5}" name="Unit cost 2025 USD2" totalsRowFunction="custom" dataDxfId="23" totalsRowDxfId="22">
      <totalsRowFormula>SUM(E8:E14)</totalsRowFormula>
    </tableColumn>
    <tableColumn id="6" xr3:uid="{900C47FC-3EA7-4E64-A096-EB065A631CBC}" name="Cumulative sum" dataDxfId="21" totalsRowDxfId="20">
      <calculatedColumnFormula>F6+E7</calculatedColumnFormula>
    </tableColumn>
    <tableColumn id="7" xr3:uid="{7A128D10-62D5-47E2-8179-48C309C0F0F9}" name="Source "/>
    <tableColumn id="8" xr3:uid="{B5B5EA07-70DE-477A-A07D-830A3C1DEC6D}" name="Note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26FEF6-C8F5-4D2E-8B49-30E4F411E905}" name="Table13" displayName="Table13" ref="A27:H38" totalsRowCount="1" headerRowDxfId="19">
  <autoFilter ref="A27:H37" xr:uid="{4D26FEF6-C8F5-4D2E-8B49-30E4F411E905}"/>
  <tableColumns count="8">
    <tableColumn id="1" xr3:uid="{8DA25AF3-A298-4566-9A09-CC68DED030CA}" name="Input"/>
    <tableColumn id="2" xr3:uid="{F7F0D35E-1E88-475D-A14F-57E7641DDA8C}" name="Price (% or 2022 USD)"/>
    <tableColumn id="3" xr3:uid="{06B0E261-5150-44BE-AD4B-4718D4DA91F3}" name="Unit cost 2025 USD" dataDxfId="18" totalsRowDxfId="5"/>
    <tableColumn id="4" xr3:uid="{92AE621A-6F41-4219-8BAD-3C8795E7E829}" name="Quantity " totalsRowDxfId="4"/>
    <tableColumn id="5" xr3:uid="{94B210FB-E2AB-4C23-9DC3-AD3E0B78A5EC}" name="Unit cost 2025 USD2" totalsRowFunction="custom" dataDxfId="17" totalsRowDxfId="3">
      <totalsRowFormula>SUM(E29:E36)</totalsRowFormula>
    </tableColumn>
    <tableColumn id="6" xr3:uid="{C00B14BD-D089-4B39-82A9-E1F6EB52040C}" name="Cumulative sum" dataDxfId="16" totalsRowDxfId="2">
      <calculatedColumnFormula>F27+E28</calculatedColumnFormula>
    </tableColumn>
    <tableColumn id="7" xr3:uid="{0994E796-A812-4953-BB24-402DE61E18BF}" name="Source " totalsRowDxfId="1"/>
    <tableColumn id="8" xr3:uid="{559FC6CE-9DF1-4278-AC5D-C4AAA78D416D}" name="Notes" totalsRowDxfId="0"/>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44EEB4-E5B0-4E53-AF7E-464CFFF0449E}" name="Table001__Page_1" displayName="Table001__Page_1" ref="A1:G54" tableType="queryTable" totalsRowShown="0">
  <autoFilter ref="A1:G54" xr:uid="{0544EEB4-E5B0-4E53-AF7E-464CFFF0449E}"/>
  <tableColumns count="7">
    <tableColumn id="1" xr3:uid="{988D85C6-F56B-4B2C-8F00-60592A127254}" uniqueName="1" name="Pooled Procurement Mechanism Reference Pricing: Antimalarial medicines" queryTableFieldId="1" dataDxfId="15"/>
    <tableColumn id="2" xr3:uid="{C9F68801-E9A1-4881-9AD2-4C69D6D439B3}" uniqueName="2" name="Column2" queryTableFieldId="2" dataDxfId="14"/>
    <tableColumn id="3" xr3:uid="{F42FEE43-8585-47BF-BE71-3AB1B7C08C92}" uniqueName="3" name="(version: quarter 2 2025)" queryTableFieldId="3" dataDxfId="13"/>
    <tableColumn id="4" xr3:uid="{4F995F09-06AA-4814-835F-C2184DE3DDBD}" uniqueName="4" name="Column4" queryTableFieldId="4" dataDxfId="12"/>
    <tableColumn id="5" xr3:uid="{B5933081-3801-426C-8BF0-53F93035C96A}" uniqueName="5" name="Column5" queryTableFieldId="5"/>
    <tableColumn id="6" xr3:uid="{C7F160A5-C6D9-495F-A08F-5D8D5156A8E4}" uniqueName="6" name="Column6" queryTableFieldId="6" dataDxfId="11"/>
    <tableColumn id="7" xr3:uid="{9E88EE53-D25F-4F2D-9BBD-68FE1301BE41}" uniqueName="7" name="Column7" queryTableFieldId="7"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7D0ED7-E6FC-480D-8E2F-BD91D3E9BF09}" name="Table005__Page_1" displayName="Table005__Page_1" ref="A1:D11" tableType="queryTable" totalsRowShown="0">
  <autoFilter ref="A1:D11" xr:uid="{4C7D0ED7-E6FC-480D-8E2F-BD91D3E9BF09}"/>
  <tableColumns count="4">
    <tableColumn id="1" xr3:uid="{2A67BBD0-6E97-41A4-A9AC-E31D720FB1DF}" uniqueName="1" name="Column1" queryTableFieldId="1" dataDxfId="9"/>
    <tableColumn id="2" xr3:uid="{4BD69D5A-908A-4650-9702-7E1943051104}" uniqueName="2" name="Column2" queryTableFieldId="2" dataDxfId="8"/>
    <tableColumn id="3" xr3:uid="{76DC304F-8835-4DE3-ADE9-95D7FFE68564}" uniqueName="3" name="Column3" queryTableFieldId="3" dataDxfId="7"/>
    <tableColumn id="4" xr3:uid="{D653EF6B-39E9-4E7C-A43D-333E1195A920}" uniqueName="4" name="Column4" queryTableFieldId="4"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4269/ajtmh.2006.75.119" TargetMode="External"/><Relationship Id="rId2" Type="http://schemas.openxmlformats.org/officeDocument/2006/relationships/hyperlink" Target="https://www.in2013dollars.com/us/inflation/2013?amount=0.60" TargetMode="External"/><Relationship Id="rId1" Type="http://schemas.openxmlformats.org/officeDocument/2006/relationships/hyperlink" Target="https://doi.org/10.1016/s0140-6736(15)00725-4"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hyperlink" Target="https://doi.org/10.1136/bmjgh-2022-01131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016/j.vaccine.2023.01.043" TargetMode="External"/><Relationship Id="rId2" Type="http://schemas.openxmlformats.org/officeDocument/2006/relationships/hyperlink" Target="https://cdn.who.int/media/docs/default-source/immunization/mvip/full-evidence-report-on-the-rtss-as01-malaria-vaccine-for-sage-mpag-%28sept2021%29.pdf" TargetMode="External"/><Relationship Id="rId1" Type="http://schemas.openxmlformats.org/officeDocument/2006/relationships/hyperlink" Target="https://doi.org/10.1371/journal.pone.0244995" TargetMode="External"/><Relationship Id="rId5" Type="http://schemas.openxmlformats.org/officeDocument/2006/relationships/hyperlink" Target="https://www.in2013dollars.com/us/inflation/2021?amount=1.37" TargetMode="External"/><Relationship Id="rId4" Type="http://schemas.openxmlformats.org/officeDocument/2006/relationships/hyperlink" Target="https://doi.org/10.1136/bmjgh-2022-01131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16/j.vaccine.2023.04.011"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7C48-02AE-4FC2-B064-C138E013045B}">
  <dimension ref="A1:H40"/>
  <sheetViews>
    <sheetView topLeftCell="A12" workbookViewId="0">
      <selection activeCell="E29" sqref="E29"/>
    </sheetView>
  </sheetViews>
  <sheetFormatPr defaultRowHeight="15" x14ac:dyDescent="0.25"/>
  <cols>
    <col min="1" max="1" width="28.7109375" customWidth="1"/>
    <col min="2" max="2" width="21.7109375" customWidth="1"/>
    <col min="3" max="3" width="19.28515625" customWidth="1"/>
    <col min="4" max="4" width="11" customWidth="1"/>
    <col min="5" max="5" width="20.28515625" customWidth="1"/>
    <col min="6" max="6" width="17.28515625" customWidth="1"/>
    <col min="7" max="7" width="16" bestFit="1" customWidth="1"/>
    <col min="8" max="8" width="38.42578125" customWidth="1"/>
  </cols>
  <sheetData>
    <row r="1" spans="1:8" x14ac:dyDescent="0.25">
      <c r="A1" s="13" t="s">
        <v>15</v>
      </c>
    </row>
    <row r="3" spans="1:8" x14ac:dyDescent="0.25">
      <c r="A3" t="s">
        <v>16</v>
      </c>
    </row>
    <row r="4" spans="1:8" ht="15.75" customHeight="1" x14ac:dyDescent="0.25">
      <c r="A4" t="s">
        <v>17</v>
      </c>
    </row>
    <row r="6" spans="1:8" x14ac:dyDescent="0.25">
      <c r="A6" s="1" t="s">
        <v>2</v>
      </c>
      <c r="B6" s="1" t="s">
        <v>22</v>
      </c>
      <c r="C6" s="1" t="s">
        <v>3</v>
      </c>
      <c r="D6" s="1" t="s">
        <v>4</v>
      </c>
      <c r="E6" s="1" t="s">
        <v>32</v>
      </c>
      <c r="F6" s="1" t="s">
        <v>5</v>
      </c>
      <c r="G6" s="1" t="s">
        <v>6</v>
      </c>
      <c r="H6" s="1" t="s">
        <v>7</v>
      </c>
    </row>
    <row r="7" spans="1:8" x14ac:dyDescent="0.25">
      <c r="A7" t="s">
        <v>1</v>
      </c>
      <c r="C7" s="6">
        <v>5</v>
      </c>
      <c r="D7">
        <v>1</v>
      </c>
      <c r="E7" s="2">
        <v>5</v>
      </c>
      <c r="F7" s="2">
        <v>5</v>
      </c>
      <c r="G7" t="s">
        <v>14</v>
      </c>
      <c r="H7" t="s">
        <v>21</v>
      </c>
    </row>
    <row r="8" spans="1:8" x14ac:dyDescent="0.25">
      <c r="A8" t="s">
        <v>8</v>
      </c>
      <c r="B8" s="3">
        <v>0.1</v>
      </c>
      <c r="C8" s="6"/>
      <c r="E8" s="5">
        <f>0.1*E7</f>
        <v>0.5</v>
      </c>
      <c r="F8" s="5">
        <f>F7+E8</f>
        <v>5.5</v>
      </c>
      <c r="G8" t="s">
        <v>25</v>
      </c>
    </row>
    <row r="9" spans="1:8" x14ac:dyDescent="0.25">
      <c r="A9" t="s">
        <v>9</v>
      </c>
      <c r="B9" s="3">
        <v>0.15</v>
      </c>
      <c r="C9" s="6"/>
      <c r="E9" s="5">
        <f>0.15*F8</f>
        <v>0.82499999999999996</v>
      </c>
      <c r="F9" s="5">
        <f>F8+E9</f>
        <v>6.3250000000000002</v>
      </c>
      <c r="G9" t="s">
        <v>25</v>
      </c>
      <c r="H9" t="s">
        <v>27</v>
      </c>
    </row>
    <row r="10" spans="1:8" x14ac:dyDescent="0.25">
      <c r="A10" t="s">
        <v>11</v>
      </c>
      <c r="B10" s="5">
        <v>0.05</v>
      </c>
      <c r="C10" s="6">
        <v>7.0000000000000007E-2</v>
      </c>
      <c r="D10">
        <v>1</v>
      </c>
      <c r="E10" s="6">
        <f>D10*C10</f>
        <v>7.0000000000000007E-2</v>
      </c>
      <c r="F10" s="5">
        <f t="shared" ref="F10:F14" si="0">F9+E10</f>
        <v>6.3950000000000005</v>
      </c>
      <c r="G10" t="s">
        <v>26</v>
      </c>
      <c r="H10" t="s">
        <v>28</v>
      </c>
    </row>
    <row r="11" spans="1:8" x14ac:dyDescent="0.25">
      <c r="A11" t="s">
        <v>10</v>
      </c>
      <c r="B11" s="5">
        <v>0.03</v>
      </c>
      <c r="C11" s="6">
        <v>0.04</v>
      </c>
      <c r="D11">
        <v>2</v>
      </c>
      <c r="E11" s="6">
        <f>D11*C11</f>
        <v>0.08</v>
      </c>
      <c r="F11" s="5">
        <f t="shared" si="0"/>
        <v>6.4750000000000005</v>
      </c>
      <c r="G11" t="s">
        <v>26</v>
      </c>
      <c r="H11" t="s">
        <v>28</v>
      </c>
    </row>
    <row r="12" spans="1:8" x14ac:dyDescent="0.25">
      <c r="A12" t="s">
        <v>8</v>
      </c>
      <c r="B12" s="3">
        <v>0.1</v>
      </c>
      <c r="C12" s="6"/>
      <c r="E12" s="6">
        <v>0.01</v>
      </c>
      <c r="F12" s="5">
        <f t="shared" si="0"/>
        <v>6.4850000000000003</v>
      </c>
      <c r="G12" t="s">
        <v>25</v>
      </c>
    </row>
    <row r="13" spans="1:8" x14ac:dyDescent="0.25">
      <c r="A13" t="s">
        <v>12</v>
      </c>
      <c r="B13" s="6">
        <v>0.6</v>
      </c>
      <c r="C13" s="6">
        <v>0.82</v>
      </c>
      <c r="D13">
        <v>0.01</v>
      </c>
      <c r="E13" s="6">
        <v>0.01</v>
      </c>
      <c r="F13" s="5">
        <f t="shared" si="0"/>
        <v>6.4950000000000001</v>
      </c>
      <c r="G13" t="s">
        <v>26</v>
      </c>
      <c r="H13" t="s">
        <v>29</v>
      </c>
    </row>
    <row r="14" spans="1:8" x14ac:dyDescent="0.25">
      <c r="A14" t="s">
        <v>0</v>
      </c>
      <c r="B14" s="3">
        <v>0.5</v>
      </c>
      <c r="E14" s="6">
        <v>0.01</v>
      </c>
      <c r="F14" s="5">
        <f t="shared" si="0"/>
        <v>6.5049999999999999</v>
      </c>
      <c r="G14" t="s">
        <v>25</v>
      </c>
    </row>
    <row r="15" spans="1:8" x14ac:dyDescent="0.25">
      <c r="A15" s="9" t="s">
        <v>13</v>
      </c>
      <c r="B15" s="9"/>
      <c r="C15" s="9"/>
      <c r="D15" s="9"/>
      <c r="E15" s="9"/>
      <c r="F15" s="10">
        <f>F14+E15</f>
        <v>6.5049999999999999</v>
      </c>
    </row>
    <row r="16" spans="1:8" x14ac:dyDescent="0.25">
      <c r="C16" s="6"/>
      <c r="E16" s="6">
        <f>SUM(E8:E14)</f>
        <v>1.5050000000000001</v>
      </c>
      <c r="F16" s="5"/>
    </row>
    <row r="18" spans="1:8" x14ac:dyDescent="0.25">
      <c r="A18" s="7" t="s">
        <v>20</v>
      </c>
      <c r="B18" s="11" t="s">
        <v>19</v>
      </c>
    </row>
    <row r="19" spans="1:8" x14ac:dyDescent="0.25">
      <c r="A19" t="s">
        <v>25</v>
      </c>
      <c r="B19" s="8" t="s">
        <v>30</v>
      </c>
    </row>
    <row r="20" spans="1:8" x14ac:dyDescent="0.25">
      <c r="A20" t="s">
        <v>26</v>
      </c>
      <c r="B20" s="7" t="s">
        <v>31</v>
      </c>
      <c r="C20" s="4"/>
      <c r="D20" s="4"/>
      <c r="E20" s="4"/>
      <c r="F20" s="4"/>
      <c r="G20" s="4"/>
      <c r="H20" s="4"/>
    </row>
    <row r="21" spans="1:8" x14ac:dyDescent="0.25">
      <c r="A21" s="4" t="s">
        <v>23</v>
      </c>
      <c r="B21" s="8" t="s">
        <v>24</v>
      </c>
      <c r="C21" s="4"/>
      <c r="D21" s="4"/>
      <c r="E21" s="4"/>
      <c r="F21" s="4"/>
      <c r="G21" s="4"/>
      <c r="H21" s="4"/>
    </row>
    <row r="22" spans="1:8" x14ac:dyDescent="0.25">
      <c r="A22" s="4"/>
      <c r="B22" s="7"/>
      <c r="C22" s="4"/>
      <c r="D22" s="4"/>
      <c r="E22" s="4"/>
      <c r="F22" s="4"/>
      <c r="G22" s="4"/>
      <c r="H22" s="4"/>
    </row>
    <row r="23" spans="1:8" x14ac:dyDescent="0.25">
      <c r="A23" s="9" t="s">
        <v>135</v>
      </c>
      <c r="C23" s="4"/>
      <c r="D23" s="4"/>
      <c r="E23" s="4"/>
      <c r="F23" s="4"/>
      <c r="G23" s="4"/>
      <c r="H23" s="4"/>
    </row>
    <row r="24" spans="1:8" x14ac:dyDescent="0.25">
      <c r="A24" s="20" t="s">
        <v>33</v>
      </c>
      <c r="C24" s="4"/>
      <c r="D24" s="4"/>
      <c r="E24" s="4"/>
      <c r="F24" s="4"/>
      <c r="G24" s="4"/>
      <c r="H24" s="4"/>
    </row>
    <row r="26" spans="1:8" x14ac:dyDescent="0.25">
      <c r="A26" s="4" t="s">
        <v>34</v>
      </c>
      <c r="B26" s="4"/>
      <c r="C26" s="4"/>
      <c r="D26" s="4"/>
      <c r="E26" s="4"/>
      <c r="F26" s="4"/>
      <c r="G26" s="4"/>
      <c r="H26" s="4"/>
    </row>
    <row r="27" spans="1:8" x14ac:dyDescent="0.25">
      <c r="A27" s="1" t="s">
        <v>2</v>
      </c>
      <c r="B27" s="1" t="s">
        <v>36</v>
      </c>
      <c r="C27" s="1" t="s">
        <v>3</v>
      </c>
      <c r="D27" s="1" t="s">
        <v>4</v>
      </c>
      <c r="E27" s="1" t="s">
        <v>32</v>
      </c>
      <c r="F27" s="1" t="s">
        <v>5</v>
      </c>
      <c r="G27" s="1" t="s">
        <v>6</v>
      </c>
      <c r="H27" s="1" t="s">
        <v>7</v>
      </c>
    </row>
    <row r="28" spans="1:8" x14ac:dyDescent="0.25">
      <c r="A28" t="s">
        <v>1</v>
      </c>
      <c r="C28" s="6">
        <v>5</v>
      </c>
      <c r="D28">
        <v>1</v>
      </c>
      <c r="E28" s="2">
        <v>5</v>
      </c>
      <c r="F28" s="2">
        <f>Table13[[#This Row],[Unit cost 2025 USD2]]</f>
        <v>5</v>
      </c>
      <c r="G28" t="s">
        <v>14</v>
      </c>
      <c r="H28" t="s">
        <v>21</v>
      </c>
    </row>
    <row r="29" spans="1:8" x14ac:dyDescent="0.25">
      <c r="A29" t="s">
        <v>35</v>
      </c>
      <c r="B29" s="3">
        <v>0.1</v>
      </c>
      <c r="C29" s="6"/>
      <c r="E29" s="5">
        <f>E28*Table13[[#This Row],[Price (% or 2022 USD)]]</f>
        <v>0.5</v>
      </c>
      <c r="F29" s="5">
        <f>F28+E29</f>
        <v>5.5</v>
      </c>
    </row>
    <row r="30" spans="1:8" x14ac:dyDescent="0.25">
      <c r="A30" t="s">
        <v>11</v>
      </c>
      <c r="B30" s="16">
        <v>0.2</v>
      </c>
      <c r="C30" s="6">
        <v>0.22</v>
      </c>
      <c r="D30">
        <v>1</v>
      </c>
      <c r="E30" s="6">
        <f>Table13[[#This Row],[Quantity ]]*Table13[[#This Row],[Unit cost 2025 USD]]</f>
        <v>0.22</v>
      </c>
      <c r="F30" s="5">
        <f t="shared" ref="F30:F36" si="1">F29+E30</f>
        <v>5.72</v>
      </c>
    </row>
    <row r="31" spans="1:8" x14ac:dyDescent="0.25">
      <c r="A31" t="s">
        <v>10</v>
      </c>
      <c r="B31" s="17">
        <v>0.05</v>
      </c>
      <c r="C31" s="6">
        <v>0.05</v>
      </c>
      <c r="D31">
        <v>2</v>
      </c>
      <c r="E31" s="6">
        <f>Table13[[#This Row],[Quantity ]]*Table13[[#This Row],[Unit cost 2025 USD]]</f>
        <v>0.1</v>
      </c>
      <c r="F31" s="5">
        <f t="shared" si="1"/>
        <v>5.8199999999999994</v>
      </c>
    </row>
    <row r="32" spans="1:8" x14ac:dyDescent="0.25">
      <c r="A32" t="s">
        <v>37</v>
      </c>
      <c r="B32" s="17">
        <v>1</v>
      </c>
      <c r="C32" s="6">
        <v>1.0900000000000001</v>
      </c>
      <c r="D32">
        <v>0.01</v>
      </c>
      <c r="E32" s="6">
        <f>Table13[[#This Row],[Quantity ]]*Table13[[#This Row],[Unit cost 2025 USD]]</f>
        <v>1.0900000000000002E-2</v>
      </c>
      <c r="F32" s="5">
        <f t="shared" si="1"/>
        <v>5.8308999999999997</v>
      </c>
    </row>
    <row r="33" spans="1:8" ht="30" x14ac:dyDescent="0.25">
      <c r="A33" s="1" t="s">
        <v>38</v>
      </c>
      <c r="B33" s="18">
        <v>0.1</v>
      </c>
      <c r="C33" s="6"/>
      <c r="E33" s="6">
        <f>Table13[[#This Row],[Price (% or 2022 USD)]]*SUM(E30:E32)</f>
        <v>3.3090000000000001E-2</v>
      </c>
      <c r="F33" s="5">
        <f t="shared" si="1"/>
        <v>5.8639899999999994</v>
      </c>
    </row>
    <row r="34" spans="1:8" ht="30" x14ac:dyDescent="0.25">
      <c r="A34" s="1" t="s">
        <v>39</v>
      </c>
      <c r="B34" s="18"/>
      <c r="C34" s="6"/>
      <c r="E34" s="6">
        <f>Table13[[#This Row],[Price (% or 2022 USD)]]*F33</f>
        <v>0</v>
      </c>
      <c r="F34" s="5">
        <f t="shared" si="1"/>
        <v>5.8639899999999994</v>
      </c>
    </row>
    <row r="35" spans="1:8" x14ac:dyDescent="0.25">
      <c r="A35" t="s">
        <v>42</v>
      </c>
      <c r="B35" s="19">
        <v>7.5999999999999998E-2</v>
      </c>
      <c r="C35" s="6"/>
      <c r="E35" s="6">
        <f>Table13[[#This Row],[Price (% or 2022 USD)]]*E28</f>
        <v>0.38</v>
      </c>
      <c r="F35" s="5">
        <f t="shared" si="1"/>
        <v>6.2439899999999993</v>
      </c>
      <c r="H35" t="s">
        <v>43</v>
      </c>
    </row>
    <row r="36" spans="1:8" x14ac:dyDescent="0.25">
      <c r="A36" t="s">
        <v>40</v>
      </c>
      <c r="B36" s="18">
        <v>0.03</v>
      </c>
      <c r="E36" s="6">
        <f>Table13[[#This Row],[Price (% or 2022 USD)]]*E28</f>
        <v>0.15</v>
      </c>
      <c r="F36" s="5">
        <f t="shared" si="1"/>
        <v>6.3939899999999996</v>
      </c>
      <c r="H36" t="s">
        <v>41</v>
      </c>
    </row>
    <row r="37" spans="1:8" x14ac:dyDescent="0.25">
      <c r="A37" s="9" t="s">
        <v>13</v>
      </c>
      <c r="B37" s="9"/>
      <c r="C37" s="9"/>
      <c r="D37" s="9"/>
      <c r="E37" s="6"/>
      <c r="F37" s="10">
        <f>F36+Table13[[#This Row],[Unit cost 2025 USD2]]</f>
        <v>6.3939899999999996</v>
      </c>
    </row>
    <row r="38" spans="1:8" x14ac:dyDescent="0.25">
      <c r="C38" s="15"/>
      <c r="D38" s="12"/>
      <c r="E38" s="30">
        <f>SUM(E29:E36)</f>
        <v>1.3939899999999998</v>
      </c>
      <c r="F38" s="5"/>
      <c r="G38" s="12"/>
      <c r="H38" s="12"/>
    </row>
    <row r="39" spans="1:8" x14ac:dyDescent="0.25">
      <c r="C39" s="15"/>
      <c r="D39" s="12"/>
      <c r="E39" s="14"/>
      <c r="F39" s="5"/>
      <c r="G39" s="12"/>
      <c r="H39" s="12"/>
    </row>
    <row r="40" spans="1:8" x14ac:dyDescent="0.25">
      <c r="A40" t="s">
        <v>73</v>
      </c>
    </row>
  </sheetData>
  <hyperlinks>
    <hyperlink ref="B18" r:id="rId1" display="https://doi.org/10.1016/s0140-6736(15)00725-4" xr:uid="{77A4125D-D43A-49E4-86A4-12FA12AC9D36}"/>
    <hyperlink ref="B21" r:id="rId2" xr:uid="{2F6664C4-3AA5-45D4-92B4-6E225DCFC381}"/>
    <hyperlink ref="B19" r:id="rId3" xr:uid="{3C92743C-6CC1-4D40-B554-7BAEE86C1190}"/>
    <hyperlink ref="A24" r:id="rId4" xr:uid="{E49773A5-7EFF-49AC-A7AB-81B41E06C8C0}"/>
  </hyperlinks>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612B-6740-48D1-A873-13D352E6024B}">
  <dimension ref="A1:Y55"/>
  <sheetViews>
    <sheetView topLeftCell="A41" workbookViewId="0">
      <selection activeCell="A36" sqref="A36"/>
    </sheetView>
  </sheetViews>
  <sheetFormatPr defaultRowHeight="15" x14ac:dyDescent="0.25"/>
  <cols>
    <col min="1" max="1" width="13.140625" customWidth="1"/>
    <col min="2" max="2" width="14.140625" customWidth="1"/>
    <col min="3" max="3" width="18.140625" customWidth="1"/>
    <col min="4" max="4" width="11" customWidth="1"/>
    <col min="6" max="6" width="82.85546875" customWidth="1"/>
    <col min="7" max="7" width="15.85546875" bestFit="1" customWidth="1"/>
    <col min="8" max="8" width="23.42578125" bestFit="1" customWidth="1"/>
    <col min="9" max="9" width="22" customWidth="1"/>
    <col min="10" max="10" width="30.140625" customWidth="1"/>
    <col min="12" max="12" width="12" bestFit="1" customWidth="1"/>
    <col min="13" max="13" width="10" customWidth="1"/>
    <col min="14" max="14" width="15.5703125" customWidth="1"/>
    <col min="15" max="15" width="10.42578125" customWidth="1"/>
    <col min="16" max="16" width="11.28515625" customWidth="1"/>
    <col min="17" max="17" width="24.140625" customWidth="1"/>
    <col min="18" max="18" width="13.7109375" customWidth="1"/>
  </cols>
  <sheetData>
    <row r="1" spans="1:22" x14ac:dyDescent="0.25">
      <c r="A1" t="s">
        <v>18</v>
      </c>
    </row>
    <row r="2" spans="1:22" x14ac:dyDescent="0.25">
      <c r="A2" t="s">
        <v>44</v>
      </c>
    </row>
    <row r="3" spans="1:22" x14ac:dyDescent="0.25">
      <c r="D3">
        <v>1</v>
      </c>
      <c r="E3" t="s">
        <v>46</v>
      </c>
    </row>
    <row r="4" spans="1:22" x14ac:dyDescent="0.25">
      <c r="D4">
        <v>2</v>
      </c>
      <c r="E4" t="s">
        <v>45</v>
      </c>
      <c r="V4" s="20"/>
    </row>
    <row r="7" spans="1:22" x14ac:dyDescent="0.25">
      <c r="A7" s="9" t="s">
        <v>48</v>
      </c>
    </row>
    <row r="8" spans="1:22" x14ac:dyDescent="0.25">
      <c r="A8" t="s">
        <v>49</v>
      </c>
    </row>
    <row r="9" spans="1:22" x14ac:dyDescent="0.25">
      <c r="A9" t="s">
        <v>50</v>
      </c>
    </row>
    <row r="10" spans="1:22" x14ac:dyDescent="0.25">
      <c r="A10" t="s">
        <v>51</v>
      </c>
    </row>
    <row r="12" spans="1:22" x14ac:dyDescent="0.25">
      <c r="A12" t="s">
        <v>55</v>
      </c>
      <c r="E12" s="20" t="s">
        <v>56</v>
      </c>
    </row>
    <row r="13" spans="1:22" x14ac:dyDescent="0.25">
      <c r="A13" t="s">
        <v>57</v>
      </c>
    </row>
    <row r="14" spans="1:22" x14ac:dyDescent="0.25">
      <c r="A14" t="s">
        <v>52</v>
      </c>
    </row>
    <row r="15" spans="1:22" x14ac:dyDescent="0.25">
      <c r="A15" t="s">
        <v>53</v>
      </c>
    </row>
    <row r="16" spans="1:22" x14ac:dyDescent="0.25">
      <c r="A16" t="s">
        <v>58</v>
      </c>
    </row>
    <row r="17" spans="1:7" x14ac:dyDescent="0.25">
      <c r="A17" t="s">
        <v>54</v>
      </c>
    </row>
    <row r="19" spans="1:7" x14ac:dyDescent="0.25">
      <c r="A19" s="9" t="s">
        <v>60</v>
      </c>
    </row>
    <row r="20" spans="1:7" x14ac:dyDescent="0.25">
      <c r="A20" t="s">
        <v>59</v>
      </c>
      <c r="B20" s="20" t="s">
        <v>47</v>
      </c>
    </row>
    <row r="21" spans="1:7" x14ac:dyDescent="0.25">
      <c r="A21" s="21" t="s">
        <v>61</v>
      </c>
    </row>
    <row r="22" spans="1:7" x14ac:dyDescent="0.25">
      <c r="A22" s="21" t="s">
        <v>62</v>
      </c>
    </row>
    <row r="23" spans="1:7" x14ac:dyDescent="0.25">
      <c r="A23" s="21" t="s">
        <v>63</v>
      </c>
    </row>
    <row r="24" spans="1:7" x14ac:dyDescent="0.25">
      <c r="A24" s="21" t="s">
        <v>64</v>
      </c>
    </row>
    <row r="25" spans="1:7" x14ac:dyDescent="0.25">
      <c r="A25" s="21" t="s">
        <v>65</v>
      </c>
    </row>
    <row r="27" spans="1:7" x14ac:dyDescent="0.25">
      <c r="A27" s="9" t="s">
        <v>66</v>
      </c>
    </row>
    <row r="28" spans="1:7" x14ac:dyDescent="0.25">
      <c r="A28" s="21" t="s">
        <v>67</v>
      </c>
      <c r="B28" s="20" t="s">
        <v>68</v>
      </c>
    </row>
    <row r="29" spans="1:7" x14ac:dyDescent="0.25">
      <c r="A29" t="s">
        <v>69</v>
      </c>
    </row>
    <row r="30" spans="1:7" x14ac:dyDescent="0.25">
      <c r="A30" t="s">
        <v>70</v>
      </c>
    </row>
    <row r="31" spans="1:7" x14ac:dyDescent="0.25">
      <c r="A31" t="s">
        <v>71</v>
      </c>
      <c r="G31" s="33" t="s">
        <v>139</v>
      </c>
    </row>
    <row r="32" spans="1:7" x14ac:dyDescent="0.25">
      <c r="A32" t="s">
        <v>72</v>
      </c>
    </row>
    <row r="34" spans="1:25" x14ac:dyDescent="0.25">
      <c r="A34" s="9" t="s">
        <v>74</v>
      </c>
    </row>
    <row r="35" spans="1:25" x14ac:dyDescent="0.25">
      <c r="A35" t="s">
        <v>67</v>
      </c>
      <c r="B35" s="20" t="s">
        <v>75</v>
      </c>
    </row>
    <row r="36" spans="1:25" x14ac:dyDescent="0.25">
      <c r="A36" t="s">
        <v>76</v>
      </c>
    </row>
    <row r="37" spans="1:25" x14ac:dyDescent="0.25">
      <c r="A37" t="s">
        <v>79</v>
      </c>
      <c r="H37" s="33" t="s">
        <v>139</v>
      </c>
    </row>
    <row r="38" spans="1:25" x14ac:dyDescent="0.25">
      <c r="A38" t="s">
        <v>78</v>
      </c>
    </row>
    <row r="41" spans="1:25" ht="43.5" customHeight="1" x14ac:dyDescent="0.25">
      <c r="N41" s="91" t="s">
        <v>143</v>
      </c>
      <c r="O41" s="91"/>
      <c r="P41" s="91"/>
      <c r="Q41" s="91" t="s">
        <v>147</v>
      </c>
      <c r="R41" s="91"/>
    </row>
    <row r="42" spans="1:25" ht="48.95" customHeight="1" thickBot="1" x14ac:dyDescent="0.3">
      <c r="A42" s="44" t="s">
        <v>80</v>
      </c>
      <c r="B42" s="45" t="s">
        <v>81</v>
      </c>
      <c r="C42" s="45" t="s">
        <v>82</v>
      </c>
      <c r="D42" s="45" t="s">
        <v>83</v>
      </c>
      <c r="E42" s="45" t="s">
        <v>84</v>
      </c>
      <c r="F42" s="45" t="s">
        <v>85</v>
      </c>
      <c r="G42" s="45" t="s">
        <v>90</v>
      </c>
      <c r="H42" s="45" t="s">
        <v>140</v>
      </c>
      <c r="I42" s="47" t="s">
        <v>141</v>
      </c>
      <c r="J42" s="92" t="s">
        <v>7</v>
      </c>
      <c r="K42" s="92"/>
      <c r="L42" s="92"/>
      <c r="M42" s="92"/>
      <c r="N42" s="47" t="s">
        <v>144</v>
      </c>
      <c r="O42" s="47" t="s">
        <v>145</v>
      </c>
      <c r="P42" s="47" t="s">
        <v>146</v>
      </c>
      <c r="Q42" s="47" t="s">
        <v>148</v>
      </c>
      <c r="R42" s="47" t="s">
        <v>152</v>
      </c>
      <c r="S42" s="92" t="s">
        <v>7</v>
      </c>
      <c r="T42" s="92"/>
      <c r="U42" s="92"/>
      <c r="V42" s="92"/>
      <c r="W42" s="47" t="s">
        <v>154</v>
      </c>
      <c r="X42" s="47" t="s">
        <v>155</v>
      </c>
      <c r="Y42" s="47" t="s">
        <v>156</v>
      </c>
    </row>
    <row r="43" spans="1:25" ht="14.45" customHeight="1" x14ac:dyDescent="0.25">
      <c r="A43" s="79" t="s">
        <v>77</v>
      </c>
      <c r="B43" s="34" t="s">
        <v>86</v>
      </c>
      <c r="C43" s="85" t="s">
        <v>89</v>
      </c>
      <c r="D43" s="52">
        <v>2.29</v>
      </c>
      <c r="E43" s="34">
        <v>2021</v>
      </c>
      <c r="F43" s="86" t="s">
        <v>97</v>
      </c>
      <c r="G43" s="52">
        <v>2.68</v>
      </c>
      <c r="H43" s="52">
        <f>AVERAGE(G43:G45)</f>
        <v>1.8666666666666665</v>
      </c>
      <c r="I43" s="52">
        <f>AVERAGE(G43:G47)</f>
        <v>1.4239999999999999</v>
      </c>
      <c r="J43" s="93" t="s">
        <v>142</v>
      </c>
      <c r="K43" s="94"/>
      <c r="L43" s="94"/>
      <c r="M43" s="94"/>
      <c r="N43" s="46">
        <v>35064273</v>
      </c>
      <c r="O43" s="37">
        <f>N43/SUM($N$43:$N$47)</f>
        <v>9.6307590139181512E-2</v>
      </c>
      <c r="P43" s="52">
        <f>SUMPRODUCT(G43:G47,O43:O47)</f>
        <v>1.1338569579692601</v>
      </c>
      <c r="Q43" s="34" t="s">
        <v>149</v>
      </c>
      <c r="R43" s="64">
        <f>P43*Q46</f>
        <v>1.1338569579692601</v>
      </c>
      <c r="S43" s="93" t="s">
        <v>153</v>
      </c>
      <c r="T43" s="94"/>
      <c r="U43" s="94"/>
      <c r="V43" s="94"/>
    </row>
    <row r="44" spans="1:25" x14ac:dyDescent="0.25">
      <c r="A44" s="79"/>
      <c r="B44" s="34" t="s">
        <v>87</v>
      </c>
      <c r="C44" s="85"/>
      <c r="D44" s="52">
        <v>1.19</v>
      </c>
      <c r="E44" s="34">
        <v>2021</v>
      </c>
      <c r="F44" s="86"/>
      <c r="G44" s="52">
        <v>2.23</v>
      </c>
      <c r="H44" s="52"/>
      <c r="I44" s="52"/>
      <c r="J44" s="93"/>
      <c r="K44" s="94"/>
      <c r="L44" s="94"/>
      <c r="M44" s="94"/>
      <c r="N44" s="46">
        <v>57532493</v>
      </c>
      <c r="O44" s="37">
        <f t="shared" ref="O44:O47" si="0">N44/SUM($N$43:$N$47)</f>
        <v>0.15801884030304378</v>
      </c>
      <c r="P44" s="52"/>
      <c r="Q44" s="34"/>
      <c r="R44" s="64"/>
      <c r="S44" s="93"/>
      <c r="T44" s="94"/>
      <c r="U44" s="94"/>
      <c r="V44" s="94"/>
    </row>
    <row r="45" spans="1:25" x14ac:dyDescent="0.25">
      <c r="A45" s="79"/>
      <c r="B45" s="34" t="s">
        <v>88</v>
      </c>
      <c r="C45" s="85"/>
      <c r="D45" s="52">
        <v>0.59</v>
      </c>
      <c r="E45" s="34">
        <v>2021</v>
      </c>
      <c r="F45" s="86"/>
      <c r="G45" s="52">
        <v>0.69</v>
      </c>
      <c r="H45" s="52"/>
      <c r="I45" s="61"/>
      <c r="J45" s="93"/>
      <c r="K45" s="94"/>
      <c r="L45" s="94"/>
      <c r="M45" s="94"/>
      <c r="N45" s="46">
        <v>222216120</v>
      </c>
      <c r="O45" s="37">
        <f t="shared" si="0"/>
        <v>0.61033916223727713</v>
      </c>
      <c r="P45" s="52"/>
      <c r="Q45" s="36"/>
      <c r="R45" s="64"/>
      <c r="S45" s="93"/>
      <c r="T45" s="94"/>
      <c r="U45" s="94"/>
      <c r="V45" s="94"/>
    </row>
    <row r="46" spans="1:25" x14ac:dyDescent="0.25">
      <c r="A46" s="79"/>
      <c r="B46" s="35" t="s">
        <v>91</v>
      </c>
      <c r="C46" s="87" t="s">
        <v>93</v>
      </c>
      <c r="D46" s="53">
        <v>0.48</v>
      </c>
      <c r="E46" s="35">
        <v>2021</v>
      </c>
      <c r="F46" s="76" t="s">
        <v>96</v>
      </c>
      <c r="G46" s="53">
        <v>0.56000000000000005</v>
      </c>
      <c r="H46" s="53">
        <f>AVERAGE(G46:G47)</f>
        <v>0.76</v>
      </c>
      <c r="I46" s="61"/>
      <c r="J46" s="93"/>
      <c r="K46" s="94"/>
      <c r="L46" s="94"/>
      <c r="M46" s="94"/>
      <c r="N46" s="46">
        <v>25198822</v>
      </c>
      <c r="O46" s="37">
        <f t="shared" si="0"/>
        <v>6.9211126127331657E-2</v>
      </c>
      <c r="P46" s="52"/>
      <c r="Q46" s="34">
        <v>1</v>
      </c>
      <c r="R46" s="64"/>
      <c r="S46" s="93"/>
      <c r="T46" s="94"/>
      <c r="U46" s="94"/>
      <c r="V46" s="94"/>
    </row>
    <row r="47" spans="1:25" x14ac:dyDescent="0.25">
      <c r="A47" s="80"/>
      <c r="B47" s="36" t="s">
        <v>92</v>
      </c>
      <c r="C47" s="88"/>
      <c r="D47" s="54">
        <v>0.82</v>
      </c>
      <c r="E47" s="36">
        <v>2021</v>
      </c>
      <c r="F47" s="77"/>
      <c r="G47" s="54">
        <v>0.96</v>
      </c>
      <c r="H47" s="54"/>
      <c r="I47" s="54"/>
      <c r="J47" s="93"/>
      <c r="K47" s="94"/>
      <c r="L47" s="94"/>
      <c r="M47" s="94"/>
      <c r="N47" s="46">
        <v>24074580</v>
      </c>
      <c r="O47" s="37">
        <f t="shared" si="0"/>
        <v>6.6123281193165948E-2</v>
      </c>
      <c r="P47" s="52"/>
      <c r="Q47" s="34"/>
      <c r="R47" s="64"/>
      <c r="S47" s="93"/>
      <c r="T47" s="94"/>
      <c r="U47" s="94"/>
      <c r="V47" s="94"/>
    </row>
    <row r="48" spans="1:25" x14ac:dyDescent="0.25">
      <c r="A48" s="81" t="s">
        <v>94</v>
      </c>
      <c r="B48" s="38" t="s">
        <v>91</v>
      </c>
      <c r="C48" s="89" t="s">
        <v>93</v>
      </c>
      <c r="D48" s="55">
        <v>1.17</v>
      </c>
      <c r="E48" s="38">
        <v>2021</v>
      </c>
      <c r="F48" s="77"/>
      <c r="G48" s="59">
        <v>1.37</v>
      </c>
      <c r="H48" s="55">
        <f>AVERAGE(G48:G49)</f>
        <v>1.9300000000000002</v>
      </c>
      <c r="I48" s="59">
        <f>H48</f>
        <v>1.9300000000000002</v>
      </c>
      <c r="J48" s="93"/>
      <c r="K48" s="94"/>
      <c r="L48" s="94"/>
      <c r="M48" s="94"/>
      <c r="N48" s="40">
        <v>25198822</v>
      </c>
      <c r="O48" s="50">
        <f>N48/SUM($N$48:$N$49)</f>
        <v>0.51140820355777339</v>
      </c>
      <c r="P48" s="62">
        <f>SUMPRODUCT(G48:G49,O48:O49)</f>
        <v>1.9172228120152939</v>
      </c>
      <c r="Q48" s="50">
        <f>H48/H46</f>
        <v>2.5394736842105265</v>
      </c>
      <c r="R48" s="65">
        <f>Q48*P48</f>
        <v>4.8687368778809441</v>
      </c>
      <c r="S48" s="93"/>
      <c r="T48" s="94"/>
      <c r="U48" s="94"/>
      <c r="V48" s="94"/>
    </row>
    <row r="49" spans="1:22" x14ac:dyDescent="0.25">
      <c r="A49" s="82"/>
      <c r="B49" s="39" t="s">
        <v>92</v>
      </c>
      <c r="C49" s="90"/>
      <c r="D49" s="56">
        <v>2.12</v>
      </c>
      <c r="E49" s="39">
        <v>2021</v>
      </c>
      <c r="F49" s="77"/>
      <c r="G49" s="56">
        <v>2.4900000000000002</v>
      </c>
      <c r="H49" s="56"/>
      <c r="I49" s="56"/>
      <c r="J49" s="93"/>
      <c r="K49" s="94"/>
      <c r="L49" s="94"/>
      <c r="M49" s="94"/>
      <c r="N49" s="40">
        <v>24074580</v>
      </c>
      <c r="O49" s="50">
        <f t="shared" ref="O49:O51" si="1">N49/SUM($N$48:$N$49)</f>
        <v>0.48859179644222656</v>
      </c>
      <c r="P49" s="62"/>
      <c r="Q49" s="48" t="s">
        <v>150</v>
      </c>
      <c r="R49" s="65"/>
      <c r="S49" s="93"/>
      <c r="T49" s="94"/>
      <c r="U49" s="94"/>
      <c r="V49" s="94"/>
    </row>
    <row r="50" spans="1:22" x14ac:dyDescent="0.25">
      <c r="A50" s="83" t="s">
        <v>95</v>
      </c>
      <c r="B50" s="41" t="s">
        <v>91</v>
      </c>
      <c r="C50" s="74" t="s">
        <v>93</v>
      </c>
      <c r="D50" s="57">
        <v>0.7</v>
      </c>
      <c r="E50" s="41">
        <v>2021</v>
      </c>
      <c r="F50" s="77"/>
      <c r="G50" s="60">
        <v>0.82</v>
      </c>
      <c r="H50" s="57">
        <f>AVERAGE(G50:G51)</f>
        <v>1.2150000000000001</v>
      </c>
      <c r="I50" s="60">
        <f>H50</f>
        <v>1.2150000000000001</v>
      </c>
      <c r="J50" s="93"/>
      <c r="K50" s="94"/>
      <c r="L50" s="94"/>
      <c r="M50" s="94"/>
      <c r="N50" s="43">
        <v>25198822</v>
      </c>
      <c r="O50" s="51">
        <f t="shared" si="1"/>
        <v>0.51140820355777339</v>
      </c>
      <c r="P50" s="63">
        <f>SUMPRODUCT(G50:G51,O50:O51)</f>
        <v>1.205987519189359</v>
      </c>
      <c r="Q50" s="51">
        <f>I50/H46</f>
        <v>1.5986842105263159</v>
      </c>
      <c r="R50" s="63">
        <f>Q50*P50</f>
        <v>1.9279932050198307</v>
      </c>
      <c r="S50" s="93"/>
      <c r="T50" s="94"/>
      <c r="U50" s="94"/>
      <c r="V50" s="94"/>
    </row>
    <row r="51" spans="1:22" x14ac:dyDescent="0.25">
      <c r="A51" s="84"/>
      <c r="B51" s="42" t="s">
        <v>92</v>
      </c>
      <c r="C51" s="75"/>
      <c r="D51" s="58">
        <v>1.37</v>
      </c>
      <c r="E51" s="42">
        <v>2021</v>
      </c>
      <c r="F51" s="78"/>
      <c r="G51" s="58">
        <v>1.61</v>
      </c>
      <c r="H51" s="58"/>
      <c r="I51" s="58"/>
      <c r="J51" s="93"/>
      <c r="K51" s="94"/>
      <c r="L51" s="94"/>
      <c r="M51" s="94"/>
      <c r="N51" s="43">
        <v>24074580</v>
      </c>
      <c r="O51" s="51">
        <f t="shared" si="1"/>
        <v>0.48859179644222656</v>
      </c>
      <c r="P51" s="63"/>
      <c r="Q51" s="49" t="s">
        <v>151</v>
      </c>
      <c r="R51" s="63"/>
      <c r="S51" s="93"/>
      <c r="T51" s="94"/>
      <c r="U51" s="94"/>
      <c r="V51" s="94"/>
    </row>
    <row r="55" spans="1:22" x14ac:dyDescent="0.25">
      <c r="A55" s="9" t="s">
        <v>98</v>
      </c>
      <c r="B55" s="20" t="s">
        <v>99</v>
      </c>
    </row>
  </sheetData>
  <mergeCells count="15">
    <mergeCell ref="N41:P41"/>
    <mergeCell ref="Q41:R41"/>
    <mergeCell ref="S42:V42"/>
    <mergeCell ref="S43:V51"/>
    <mergeCell ref="J43:M51"/>
    <mergeCell ref="J42:M42"/>
    <mergeCell ref="C50:C51"/>
    <mergeCell ref="F46:F51"/>
    <mergeCell ref="A43:A47"/>
    <mergeCell ref="A48:A49"/>
    <mergeCell ref="A50:A51"/>
    <mergeCell ref="C43:C45"/>
    <mergeCell ref="F43:F45"/>
    <mergeCell ref="C46:C47"/>
    <mergeCell ref="C48:C49"/>
  </mergeCells>
  <hyperlinks>
    <hyperlink ref="B20" r:id="rId1" xr:uid="{6C248565-0C49-4A2A-A4B4-020DA86AF84A}"/>
    <hyperlink ref="E12" r:id="rId2" xr:uid="{808DD41D-4B9C-4AEB-B1D4-0871EBD0F8ED}"/>
    <hyperlink ref="B28" r:id="rId3" xr:uid="{CC56CA5E-A212-42FB-B6A8-D49C43297291}"/>
    <hyperlink ref="B35" r:id="rId4" display="https://doi.org/10.1136/bmjgh-2022-011316" xr:uid="{78B94D23-EFC8-4395-A6B5-B6A479B32A8C}"/>
    <hyperlink ref="B55" r:id="rId5" xr:uid="{00A79FB1-031F-4FAC-939C-DC75CE111EE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5C6B-5268-4106-986B-E98F60B1C4F3}">
  <dimension ref="A2:C5"/>
  <sheetViews>
    <sheetView workbookViewId="0">
      <selection activeCell="C2" sqref="C2"/>
    </sheetView>
  </sheetViews>
  <sheetFormatPr defaultRowHeight="15" x14ac:dyDescent="0.25"/>
  <cols>
    <col min="1" max="1" width="24.140625" customWidth="1"/>
    <col min="2" max="2" width="34" customWidth="1"/>
  </cols>
  <sheetData>
    <row r="2" spans="1:3" x14ac:dyDescent="0.25">
      <c r="A2" t="s">
        <v>136</v>
      </c>
      <c r="C2" s="20" t="s">
        <v>137</v>
      </c>
    </row>
    <row r="3" spans="1:3" ht="36" customHeight="1" x14ac:dyDescent="0.25">
      <c r="A3" s="9" t="s">
        <v>138</v>
      </c>
      <c r="B3" s="32" t="s">
        <v>3</v>
      </c>
    </row>
    <row r="4" spans="1:3" ht="30" x14ac:dyDescent="0.25">
      <c r="A4" s="31" t="s">
        <v>118</v>
      </c>
      <c r="B4" s="27">
        <v>1.07</v>
      </c>
    </row>
    <row r="5" spans="1:3" x14ac:dyDescent="0.25">
      <c r="A5" s="27"/>
      <c r="B5" s="27"/>
    </row>
  </sheetData>
  <hyperlinks>
    <hyperlink ref="C2" r:id="rId1" xr:uid="{05090410-A014-47F4-8DCC-177E30E5478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99DCA-8D9C-4280-9F36-6EB1F9A68092}">
  <dimension ref="A3:V46"/>
  <sheetViews>
    <sheetView workbookViewId="0">
      <selection activeCell="F32" sqref="F32"/>
    </sheetView>
  </sheetViews>
  <sheetFormatPr defaultRowHeight="15" x14ac:dyDescent="0.25"/>
  <cols>
    <col min="1" max="1" width="25.28515625" customWidth="1"/>
    <col min="2" max="2" width="17.28515625" bestFit="1" customWidth="1"/>
    <col min="3" max="3" width="18.140625" bestFit="1" customWidth="1"/>
    <col min="4" max="4" width="16.85546875" bestFit="1" customWidth="1"/>
    <col min="5" max="5" width="16.140625" customWidth="1"/>
    <col min="6" max="6" width="15.7109375" bestFit="1" customWidth="1"/>
    <col min="7" max="7" width="13.42578125" customWidth="1"/>
    <col min="9" max="9" width="16.85546875" bestFit="1" customWidth="1"/>
    <col min="10" max="10" width="17.28515625" bestFit="1" customWidth="1"/>
    <col min="11" max="11" width="18.140625" bestFit="1" customWidth="1"/>
    <col min="12" max="14" width="15.85546875" bestFit="1" customWidth="1"/>
    <col min="17" max="17" width="16.85546875" bestFit="1" customWidth="1"/>
    <col min="18" max="18" width="17.28515625" bestFit="1" customWidth="1"/>
    <col min="19" max="19" width="18.140625" bestFit="1" customWidth="1"/>
    <col min="20" max="22" width="15.85546875" bestFit="1" customWidth="1"/>
  </cols>
  <sheetData>
    <row r="3" spans="1:22" ht="21" x14ac:dyDescent="0.35">
      <c r="A3" s="25" t="s">
        <v>110</v>
      </c>
    </row>
    <row r="5" spans="1:22" ht="15.75" customHeight="1" x14ac:dyDescent="0.25">
      <c r="B5" s="9"/>
      <c r="C5" s="9"/>
      <c r="D5" s="9"/>
      <c r="E5" s="9"/>
      <c r="F5" s="9"/>
      <c r="H5" s="1"/>
    </row>
    <row r="6" spans="1:22" x14ac:dyDescent="0.25">
      <c r="A6" s="26" t="s">
        <v>105</v>
      </c>
      <c r="B6" s="26"/>
      <c r="C6" s="26"/>
      <c r="D6" s="26" t="s">
        <v>102</v>
      </c>
      <c r="E6" s="26" t="s">
        <v>103</v>
      </c>
      <c r="F6" s="26" t="s">
        <v>104</v>
      </c>
      <c r="I6" s="26" t="s">
        <v>105</v>
      </c>
      <c r="J6" s="26" t="s">
        <v>100</v>
      </c>
      <c r="K6" s="26" t="s">
        <v>101</v>
      </c>
      <c r="L6" s="26" t="s">
        <v>102</v>
      </c>
      <c r="M6" s="26" t="s">
        <v>103</v>
      </c>
      <c r="N6" s="26" t="s">
        <v>104</v>
      </c>
      <c r="Q6" s="26" t="s">
        <v>105</v>
      </c>
      <c r="R6" s="26" t="s">
        <v>100</v>
      </c>
      <c r="S6" s="26" t="s">
        <v>101</v>
      </c>
      <c r="T6" s="26" t="s">
        <v>102</v>
      </c>
      <c r="U6" s="26" t="s">
        <v>103</v>
      </c>
      <c r="V6" s="26" t="s">
        <v>104</v>
      </c>
    </row>
    <row r="7" spans="1:22" ht="16.5" customHeight="1" x14ac:dyDescent="0.25">
      <c r="A7" s="9" t="s">
        <v>106</v>
      </c>
      <c r="D7">
        <v>5</v>
      </c>
      <c r="E7">
        <v>5</v>
      </c>
      <c r="F7">
        <v>5</v>
      </c>
      <c r="I7" s="9" t="s">
        <v>106</v>
      </c>
      <c r="J7">
        <v>2</v>
      </c>
      <c r="K7">
        <v>2</v>
      </c>
      <c r="L7">
        <v>2</v>
      </c>
      <c r="M7">
        <v>2</v>
      </c>
      <c r="N7">
        <v>2</v>
      </c>
      <c r="Q7" s="9" t="s">
        <v>106</v>
      </c>
      <c r="R7">
        <v>10</v>
      </c>
      <c r="S7">
        <v>10</v>
      </c>
      <c r="T7">
        <v>10</v>
      </c>
      <c r="U7">
        <v>10</v>
      </c>
      <c r="V7">
        <v>10</v>
      </c>
    </row>
    <row r="8" spans="1:22" x14ac:dyDescent="0.25">
      <c r="A8" s="9" t="s">
        <v>125</v>
      </c>
      <c r="B8" s="66"/>
      <c r="C8" s="66"/>
      <c r="D8" s="66">
        <v>2.8599874999999995</v>
      </c>
      <c r="E8" s="66">
        <v>2.8599874999999995</v>
      </c>
      <c r="F8" s="66">
        <v>2.8599874999999995</v>
      </c>
      <c r="I8" s="9" t="s">
        <v>107</v>
      </c>
      <c r="J8">
        <v>0.71</v>
      </c>
      <c r="K8">
        <v>0.71</v>
      </c>
      <c r="L8">
        <v>0.71</v>
      </c>
      <c r="M8">
        <v>0.71</v>
      </c>
      <c r="N8">
        <v>0.71</v>
      </c>
      <c r="Q8" s="9" t="s">
        <v>107</v>
      </c>
      <c r="R8">
        <v>2.83</v>
      </c>
      <c r="S8">
        <v>2.83</v>
      </c>
      <c r="T8">
        <v>2.83</v>
      </c>
      <c r="U8">
        <v>2.83</v>
      </c>
      <c r="V8">
        <v>2.83</v>
      </c>
    </row>
    <row r="9" spans="1:22" x14ac:dyDescent="0.25">
      <c r="A9" s="9" t="s">
        <v>126</v>
      </c>
      <c r="D9">
        <v>1.93</v>
      </c>
      <c r="E9">
        <v>1.93</v>
      </c>
      <c r="F9">
        <v>1.93</v>
      </c>
      <c r="I9" s="9" t="s">
        <v>108</v>
      </c>
      <c r="J9">
        <v>1.93</v>
      </c>
      <c r="K9">
        <v>1.93</v>
      </c>
      <c r="L9">
        <v>1.93</v>
      </c>
      <c r="M9">
        <v>1.93</v>
      </c>
      <c r="N9">
        <v>1.93</v>
      </c>
      <c r="Q9" s="9" t="s">
        <v>108</v>
      </c>
      <c r="R9">
        <v>1.93</v>
      </c>
      <c r="S9">
        <v>1.93</v>
      </c>
      <c r="T9">
        <v>1.93</v>
      </c>
      <c r="U9">
        <v>1.93</v>
      </c>
      <c r="V9">
        <v>1.93</v>
      </c>
    </row>
    <row r="10" spans="1:22" ht="15.75" thickBot="1" x14ac:dyDescent="0.3">
      <c r="A10" s="23" t="s">
        <v>109</v>
      </c>
      <c r="B10" s="67"/>
      <c r="C10" s="68"/>
      <c r="D10" s="68">
        <f>SUM(D7:D9)*5</f>
        <v>48.94993749999999</v>
      </c>
      <c r="E10" s="68">
        <f>SUM(E7:E9)*6</f>
        <v>58.739924999999992</v>
      </c>
      <c r="F10" s="68">
        <f>SUM(F7:F9)*7</f>
        <v>68.529912499999995</v>
      </c>
      <c r="G10" s="22"/>
      <c r="I10" s="23" t="s">
        <v>109</v>
      </c>
      <c r="J10" s="24">
        <f>SUM(J7:J9)*3</f>
        <v>13.919999999999998</v>
      </c>
      <c r="K10" s="24">
        <f>SUM(K7:K9)*4</f>
        <v>18.559999999999999</v>
      </c>
      <c r="L10" s="24">
        <f>SUM(L7:L9)*5</f>
        <v>23.2</v>
      </c>
      <c r="M10" s="24">
        <f>SUM(M7:M9)*6</f>
        <v>27.839999999999996</v>
      </c>
      <c r="N10" s="24">
        <f>SUM(N7:N9)*7</f>
        <v>32.479999999999997</v>
      </c>
      <c r="Q10" s="23" t="s">
        <v>109</v>
      </c>
      <c r="R10" s="24">
        <f>SUM(R7:R9)*3</f>
        <v>44.28</v>
      </c>
      <c r="S10" s="24">
        <f>SUM(S7:S9)*4</f>
        <v>59.04</v>
      </c>
      <c r="T10" s="24">
        <f>SUM(T7:T9)*5</f>
        <v>73.8</v>
      </c>
      <c r="U10" s="24">
        <f>SUM(U7:U9)*6</f>
        <v>88.56</v>
      </c>
      <c r="V10" s="24">
        <f>SUM(V7:V9)*7</f>
        <v>103.32</v>
      </c>
    </row>
    <row r="11" spans="1:22" ht="15.75" thickTop="1" x14ac:dyDescent="0.25">
      <c r="A11" s="9"/>
      <c r="G11" s="22"/>
    </row>
    <row r="12" spans="1:22" x14ac:dyDescent="0.25">
      <c r="A12" s="26" t="s">
        <v>105</v>
      </c>
      <c r="B12" s="26"/>
      <c r="C12" s="26"/>
      <c r="D12" s="26" t="s">
        <v>113</v>
      </c>
      <c r="E12" s="26" t="s">
        <v>114</v>
      </c>
      <c r="F12" s="26" t="s">
        <v>115</v>
      </c>
      <c r="I12" s="26" t="s">
        <v>105</v>
      </c>
      <c r="J12" s="26" t="s">
        <v>111</v>
      </c>
      <c r="K12" s="26" t="s">
        <v>112</v>
      </c>
      <c r="L12" s="26" t="s">
        <v>113</v>
      </c>
      <c r="M12" s="26" t="s">
        <v>114</v>
      </c>
      <c r="N12" s="26" t="s">
        <v>115</v>
      </c>
      <c r="Q12" s="26" t="s">
        <v>105</v>
      </c>
      <c r="R12" s="26" t="s">
        <v>111</v>
      </c>
      <c r="S12" s="26" t="s">
        <v>112</v>
      </c>
      <c r="T12" s="26" t="s">
        <v>113</v>
      </c>
      <c r="U12" s="26" t="s">
        <v>114</v>
      </c>
      <c r="V12" s="26" t="s">
        <v>115</v>
      </c>
    </row>
    <row r="13" spans="1:22" x14ac:dyDescent="0.25">
      <c r="A13" s="9" t="s">
        <v>106</v>
      </c>
      <c r="D13">
        <v>2</v>
      </c>
      <c r="E13">
        <v>2</v>
      </c>
      <c r="F13">
        <v>2</v>
      </c>
      <c r="I13" s="9" t="s">
        <v>106</v>
      </c>
      <c r="J13">
        <v>2</v>
      </c>
      <c r="K13">
        <v>2</v>
      </c>
      <c r="L13">
        <v>2</v>
      </c>
      <c r="M13">
        <v>2</v>
      </c>
      <c r="N13">
        <v>2</v>
      </c>
      <c r="Q13" s="9" t="s">
        <v>106</v>
      </c>
      <c r="R13">
        <v>10</v>
      </c>
      <c r="S13">
        <v>10</v>
      </c>
      <c r="T13">
        <v>10</v>
      </c>
      <c r="U13">
        <v>10</v>
      </c>
      <c r="V13">
        <v>10</v>
      </c>
    </row>
    <row r="14" spans="1:22" x14ac:dyDescent="0.25">
      <c r="A14" s="9" t="s">
        <v>125</v>
      </c>
      <c r="B14" s="66"/>
      <c r="C14" s="66"/>
      <c r="D14" s="66">
        <v>1.4169875000000001</v>
      </c>
      <c r="E14" s="66">
        <v>1.4169875000000001</v>
      </c>
      <c r="F14" s="66">
        <v>1.4169875000000001</v>
      </c>
      <c r="I14" s="9" t="s">
        <v>107</v>
      </c>
      <c r="J14">
        <v>0.71</v>
      </c>
      <c r="K14">
        <v>0.71</v>
      </c>
      <c r="L14">
        <v>0.71</v>
      </c>
      <c r="M14">
        <v>0.71</v>
      </c>
      <c r="N14">
        <v>0.71</v>
      </c>
      <c r="Q14" s="9" t="s">
        <v>107</v>
      </c>
      <c r="R14">
        <v>2.83</v>
      </c>
      <c r="S14">
        <v>2.83</v>
      </c>
      <c r="T14">
        <v>2.83</v>
      </c>
      <c r="U14">
        <v>2.83</v>
      </c>
      <c r="V14">
        <v>2.83</v>
      </c>
    </row>
    <row r="15" spans="1:22" x14ac:dyDescent="0.25">
      <c r="A15" s="9" t="s">
        <v>126</v>
      </c>
      <c r="D15">
        <v>1.22</v>
      </c>
      <c r="E15">
        <v>1.22</v>
      </c>
      <c r="F15">
        <v>1.22</v>
      </c>
      <c r="I15" s="9" t="s">
        <v>108</v>
      </c>
      <c r="J15">
        <v>1.22</v>
      </c>
      <c r="K15">
        <v>1.22</v>
      </c>
      <c r="L15">
        <v>1.22</v>
      </c>
      <c r="M15">
        <v>1.22</v>
      </c>
      <c r="N15">
        <v>1.22</v>
      </c>
      <c r="Q15" s="9" t="s">
        <v>108</v>
      </c>
      <c r="R15">
        <v>1.22</v>
      </c>
      <c r="S15">
        <v>1.22</v>
      </c>
      <c r="T15">
        <v>1.22</v>
      </c>
      <c r="U15">
        <v>1.22</v>
      </c>
      <c r="V15">
        <v>1.22</v>
      </c>
    </row>
    <row r="16" spans="1:22" ht="15.75" thickBot="1" x14ac:dyDescent="0.3">
      <c r="A16" s="23" t="s">
        <v>109</v>
      </c>
      <c r="B16" s="67"/>
      <c r="C16" s="67"/>
      <c r="D16" s="69">
        <f>SUM(D13:D15)*5</f>
        <v>23.1849375</v>
      </c>
      <c r="E16" s="69">
        <f>SUM(E13:E15)*6</f>
        <v>27.821925</v>
      </c>
      <c r="F16" s="69">
        <f>SUM(F13:F15)*7</f>
        <v>32.458912499999997</v>
      </c>
      <c r="I16" s="23" t="s">
        <v>109</v>
      </c>
      <c r="J16" s="24">
        <f>SUM(J13:J15)*3</f>
        <v>11.79</v>
      </c>
      <c r="K16" s="24">
        <f>SUM(K13:K15)*4</f>
        <v>15.719999999999999</v>
      </c>
      <c r="L16" s="24">
        <f>SUM(L13:L15)*5</f>
        <v>19.649999999999999</v>
      </c>
      <c r="M16" s="24">
        <f>SUM(M13:M15)*6</f>
        <v>23.58</v>
      </c>
      <c r="N16" s="24">
        <f>SUM(N13:N15)*7</f>
        <v>27.509999999999998</v>
      </c>
      <c r="Q16" s="23" t="s">
        <v>109</v>
      </c>
      <c r="R16" s="24">
        <f>SUM(R13:R15)*3</f>
        <v>42.150000000000006</v>
      </c>
      <c r="S16" s="24">
        <f>SUM(S13:S15)*4</f>
        <v>56.2</v>
      </c>
      <c r="T16" s="24">
        <f>SUM(T13:T15)*5</f>
        <v>70.25</v>
      </c>
      <c r="U16" s="24">
        <f>SUM(U13:U15)*6</f>
        <v>84.300000000000011</v>
      </c>
      <c r="V16" s="24">
        <f>SUM(V13:V15)*7</f>
        <v>98.350000000000009</v>
      </c>
    </row>
    <row r="17" spans="1:19" ht="15.75" thickTop="1" x14ac:dyDescent="0.25"/>
    <row r="18" spans="1:19" x14ac:dyDescent="0.25">
      <c r="A18" s="26" t="s">
        <v>105</v>
      </c>
      <c r="B18" s="26" t="s">
        <v>116</v>
      </c>
      <c r="C18" s="26" t="s">
        <v>117</v>
      </c>
      <c r="I18" s="26" t="s">
        <v>105</v>
      </c>
      <c r="J18" s="26" t="s">
        <v>116</v>
      </c>
      <c r="K18" s="26" t="s">
        <v>117</v>
      </c>
      <c r="Q18" s="26" t="s">
        <v>105</v>
      </c>
      <c r="R18" s="26" t="s">
        <v>116</v>
      </c>
      <c r="S18" s="26" t="s">
        <v>117</v>
      </c>
    </row>
    <row r="19" spans="1:19" x14ac:dyDescent="0.25">
      <c r="A19" s="9" t="s">
        <v>106</v>
      </c>
      <c r="B19">
        <v>5</v>
      </c>
      <c r="C19">
        <v>5</v>
      </c>
      <c r="I19" s="9" t="s">
        <v>106</v>
      </c>
      <c r="J19">
        <v>2</v>
      </c>
      <c r="K19">
        <v>2</v>
      </c>
      <c r="Q19" s="9" t="s">
        <v>106</v>
      </c>
      <c r="R19">
        <v>10</v>
      </c>
      <c r="S19">
        <v>10</v>
      </c>
    </row>
    <row r="20" spans="1:19" x14ac:dyDescent="0.25">
      <c r="A20" s="9" t="s">
        <v>125</v>
      </c>
      <c r="B20">
        <v>1.51</v>
      </c>
      <c r="C20">
        <v>1.51</v>
      </c>
      <c r="I20" s="9" t="s">
        <v>107</v>
      </c>
      <c r="J20">
        <v>0.71</v>
      </c>
      <c r="K20">
        <v>0.71</v>
      </c>
      <c r="Q20" s="9" t="s">
        <v>107</v>
      </c>
      <c r="R20">
        <v>2.83</v>
      </c>
      <c r="S20">
        <v>2.83</v>
      </c>
    </row>
    <row r="21" spans="1:19" x14ac:dyDescent="0.25">
      <c r="A21" s="9" t="s">
        <v>126</v>
      </c>
      <c r="B21">
        <v>1.42</v>
      </c>
      <c r="C21">
        <v>1.42</v>
      </c>
      <c r="I21" s="9" t="s">
        <v>108</v>
      </c>
      <c r="J21">
        <v>1.42</v>
      </c>
      <c r="K21">
        <v>1.42</v>
      </c>
      <c r="Q21" s="9" t="s">
        <v>108</v>
      </c>
      <c r="R21">
        <v>1.42</v>
      </c>
      <c r="S21">
        <v>1.42</v>
      </c>
    </row>
    <row r="22" spans="1:19" ht="15.75" thickBot="1" x14ac:dyDescent="0.3">
      <c r="A22" s="23" t="s">
        <v>109</v>
      </c>
      <c r="B22" s="24">
        <f>SUM(B19:B21)*3</f>
        <v>23.79</v>
      </c>
      <c r="C22" s="24">
        <f>SUM(C19:C21)*4</f>
        <v>31.72</v>
      </c>
      <c r="I22" s="23" t="s">
        <v>109</v>
      </c>
      <c r="J22" s="24">
        <f>SUM(J19:J21)*3</f>
        <v>12.39</v>
      </c>
      <c r="K22" s="24">
        <f>SUM(K19:K21)*4</f>
        <v>16.52</v>
      </c>
      <c r="Q22" s="23" t="s">
        <v>109</v>
      </c>
      <c r="R22" s="24">
        <f>SUM(R19:R21)*3</f>
        <v>42.75</v>
      </c>
      <c r="S22" s="24">
        <f>SUM(S19:S21)*4</f>
        <v>57</v>
      </c>
    </row>
    <row r="23" spans="1:19" ht="15.75" thickTop="1" x14ac:dyDescent="0.25"/>
    <row r="27" spans="1:19" ht="30" x14ac:dyDescent="0.25">
      <c r="A27" s="26" t="s">
        <v>105</v>
      </c>
      <c r="B27" s="28" t="s">
        <v>120</v>
      </c>
      <c r="C27" s="28" t="s">
        <v>119</v>
      </c>
    </row>
    <row r="28" spans="1:19" ht="30" x14ac:dyDescent="0.25">
      <c r="A28" s="22" t="s">
        <v>127</v>
      </c>
      <c r="B28">
        <v>1.07</v>
      </c>
      <c r="C28">
        <v>1.07</v>
      </c>
    </row>
    <row r="29" spans="1:19" ht="15.75" thickBot="1" x14ac:dyDescent="0.3">
      <c r="A29" s="23" t="s">
        <v>121</v>
      </c>
      <c r="B29" s="24">
        <f>B28*4</f>
        <v>4.28</v>
      </c>
      <c r="C29" s="24">
        <f>C28*5</f>
        <v>5.3500000000000005</v>
      </c>
    </row>
    <row r="30" spans="1:19" ht="15.75" thickTop="1" x14ac:dyDescent="0.25"/>
    <row r="32" spans="1:19" ht="30" x14ac:dyDescent="0.25">
      <c r="A32" s="26" t="s">
        <v>122</v>
      </c>
      <c r="B32" s="28" t="s">
        <v>128</v>
      </c>
      <c r="C32" s="28" t="s">
        <v>129</v>
      </c>
    </row>
    <row r="33" spans="1:6" x14ac:dyDescent="0.25">
      <c r="A33" s="9" t="s">
        <v>123</v>
      </c>
      <c r="B33">
        <v>0.56999999999999995</v>
      </c>
      <c r="C33">
        <v>0.56999999999999995</v>
      </c>
    </row>
    <row r="34" spans="1:6" x14ac:dyDescent="0.25">
      <c r="A34" s="9" t="s">
        <v>124</v>
      </c>
      <c r="B34">
        <v>0.49</v>
      </c>
      <c r="C34">
        <v>0.49</v>
      </c>
    </row>
    <row r="35" spans="1:6" ht="30" x14ac:dyDescent="0.25">
      <c r="A35" s="22" t="s">
        <v>130</v>
      </c>
      <c r="B35">
        <v>2.19</v>
      </c>
      <c r="C35">
        <v>2.19</v>
      </c>
    </row>
    <row r="36" spans="1:6" ht="45" x14ac:dyDescent="0.25">
      <c r="A36" s="22" t="s">
        <v>131</v>
      </c>
      <c r="B36" s="3">
        <v>0.23</v>
      </c>
      <c r="C36" s="3">
        <v>0.23</v>
      </c>
    </row>
    <row r="37" spans="1:6" ht="15.75" thickBot="1" x14ac:dyDescent="0.3">
      <c r="A37" s="23" t="s">
        <v>109</v>
      </c>
      <c r="B37" s="29">
        <f>(B33+(B34*12)+B35)-B36</f>
        <v>8.41</v>
      </c>
      <c r="C37" s="29">
        <f>(C33+(C34*24)+C35)-C36</f>
        <v>14.29</v>
      </c>
    </row>
    <row r="38" spans="1:6" ht="15.75" thickTop="1" x14ac:dyDescent="0.25"/>
    <row r="40" spans="1:6" ht="30" x14ac:dyDescent="0.25">
      <c r="A40" s="26" t="s">
        <v>122</v>
      </c>
      <c r="B40" s="28" t="s">
        <v>132</v>
      </c>
      <c r="C40" s="28" t="s">
        <v>133</v>
      </c>
    </row>
    <row r="41" spans="1:6" x14ac:dyDescent="0.25">
      <c r="A41" s="9" t="s">
        <v>123</v>
      </c>
      <c r="B41">
        <v>0.56999999999999995</v>
      </c>
      <c r="C41">
        <v>0.56999999999999995</v>
      </c>
    </row>
    <row r="42" spans="1:6" x14ac:dyDescent="0.25">
      <c r="A42" s="9" t="s">
        <v>124</v>
      </c>
      <c r="B42">
        <v>0.49</v>
      </c>
      <c r="C42">
        <v>0.49</v>
      </c>
    </row>
    <row r="43" spans="1:6" ht="30" x14ac:dyDescent="0.25">
      <c r="A43" s="22" t="s">
        <v>134</v>
      </c>
      <c r="B43">
        <v>26.06</v>
      </c>
      <c r="C43">
        <v>26.06</v>
      </c>
    </row>
    <row r="44" spans="1:6" ht="45" x14ac:dyDescent="0.25">
      <c r="A44" s="22" t="s">
        <v>131</v>
      </c>
      <c r="B44" s="3">
        <v>0.23</v>
      </c>
      <c r="C44" s="3">
        <v>0.23</v>
      </c>
      <c r="D44" s="9"/>
      <c r="E44" s="9"/>
      <c r="F44" s="9"/>
    </row>
    <row r="45" spans="1:6" ht="15.75" thickBot="1" x14ac:dyDescent="0.3">
      <c r="A45" s="23" t="s">
        <v>109</v>
      </c>
      <c r="B45" s="29">
        <f>(B41+(B42*12)+B43)-B44</f>
        <v>32.28</v>
      </c>
      <c r="C45" s="29">
        <f>(C41+(C42*24)+C43)-C44</f>
        <v>38.160000000000004</v>
      </c>
    </row>
    <row r="46" spans="1:6" ht="15.75" thickTop="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03CC-9653-4FEE-8E0B-A8BC469EDEE7}">
  <dimension ref="A1:K54"/>
  <sheetViews>
    <sheetView workbookViewId="0">
      <selection activeCell="J19" sqref="J19"/>
    </sheetView>
  </sheetViews>
  <sheetFormatPr defaultRowHeight="15" x14ac:dyDescent="0.25"/>
  <cols>
    <col min="1" max="1" width="81.140625" bestFit="1" customWidth="1"/>
    <col min="2" max="2" width="21.5703125" bestFit="1" customWidth="1"/>
    <col min="3" max="3" width="25.28515625" bestFit="1" customWidth="1"/>
    <col min="4" max="4" width="27.140625" bestFit="1" customWidth="1"/>
    <col min="5" max="6" width="11.42578125" bestFit="1" customWidth="1"/>
    <col min="7" max="7" width="31.42578125" bestFit="1" customWidth="1"/>
  </cols>
  <sheetData>
    <row r="1" spans="1:11" x14ac:dyDescent="0.25">
      <c r="A1" t="s">
        <v>196</v>
      </c>
      <c r="B1" t="s">
        <v>169</v>
      </c>
      <c r="C1" t="s">
        <v>197</v>
      </c>
      <c r="D1" t="s">
        <v>195</v>
      </c>
      <c r="E1" t="s">
        <v>198</v>
      </c>
      <c r="F1" t="s">
        <v>199</v>
      </c>
      <c r="G1" t="s">
        <v>200</v>
      </c>
    </row>
    <row r="2" spans="1:11" x14ac:dyDescent="0.25">
      <c r="A2" t="s">
        <v>201</v>
      </c>
    </row>
    <row r="3" spans="1:11" x14ac:dyDescent="0.25">
      <c r="A3" t="s">
        <v>202</v>
      </c>
    </row>
    <row r="4" spans="1:11" x14ac:dyDescent="0.25">
      <c r="A4" t="s">
        <v>203</v>
      </c>
    </row>
    <row r="5" spans="1:11" x14ac:dyDescent="0.25">
      <c r="A5" t="s">
        <v>204</v>
      </c>
    </row>
    <row r="6" spans="1:11" x14ac:dyDescent="0.25">
      <c r="A6" t="s">
        <v>205</v>
      </c>
      <c r="G6" t="s">
        <v>206</v>
      </c>
    </row>
    <row r="7" spans="1:11" x14ac:dyDescent="0.25">
      <c r="A7" t="s">
        <v>207</v>
      </c>
    </row>
    <row r="8" spans="1:11" x14ac:dyDescent="0.25">
      <c r="A8" t="s">
        <v>208</v>
      </c>
    </row>
    <row r="9" spans="1:11" x14ac:dyDescent="0.25">
      <c r="A9" t="s">
        <v>209</v>
      </c>
      <c r="D9" t="s">
        <v>210</v>
      </c>
      <c r="G9" t="s">
        <v>211</v>
      </c>
    </row>
    <row r="10" spans="1:11" x14ac:dyDescent="0.25">
      <c r="A10" t="s">
        <v>212</v>
      </c>
    </row>
    <row r="11" spans="1:11" x14ac:dyDescent="0.25">
      <c r="A11" t="s">
        <v>213</v>
      </c>
      <c r="D11" t="s">
        <v>214</v>
      </c>
      <c r="E11">
        <v>6.3</v>
      </c>
      <c r="F11" t="s">
        <v>214</v>
      </c>
      <c r="G11" s="66" t="s">
        <v>215</v>
      </c>
      <c r="I11">
        <v>0.21</v>
      </c>
      <c r="K11">
        <f>AVERAGE(I11:I14)</f>
        <v>0.40250000000000002</v>
      </c>
    </row>
    <row r="12" spans="1:11" x14ac:dyDescent="0.25">
      <c r="A12" t="s">
        <v>216</v>
      </c>
      <c r="D12" t="s">
        <v>214</v>
      </c>
      <c r="E12">
        <v>10.8</v>
      </c>
      <c r="F12" t="s">
        <v>214</v>
      </c>
      <c r="G12" s="66" t="s">
        <v>217</v>
      </c>
      <c r="I12">
        <v>0.36</v>
      </c>
    </row>
    <row r="13" spans="1:11" x14ac:dyDescent="0.25">
      <c r="A13" t="s">
        <v>218</v>
      </c>
      <c r="D13" t="s">
        <v>214</v>
      </c>
      <c r="E13">
        <v>14.7</v>
      </c>
      <c r="F13" t="s">
        <v>214</v>
      </c>
      <c r="G13" s="66" t="s">
        <v>219</v>
      </c>
      <c r="I13">
        <v>0.49</v>
      </c>
    </row>
    <row r="14" spans="1:11" x14ac:dyDescent="0.25">
      <c r="A14" t="s">
        <v>220</v>
      </c>
      <c r="D14" t="s">
        <v>214</v>
      </c>
      <c r="E14">
        <v>16.5</v>
      </c>
      <c r="F14" t="s">
        <v>214</v>
      </c>
      <c r="G14" s="66" t="s">
        <v>221</v>
      </c>
      <c r="I14">
        <v>0.55000000000000004</v>
      </c>
    </row>
    <row r="15" spans="1:11" x14ac:dyDescent="0.25">
      <c r="A15" t="s">
        <v>222</v>
      </c>
      <c r="D15" t="s">
        <v>214</v>
      </c>
      <c r="E15">
        <v>9.9</v>
      </c>
      <c r="F15" t="s">
        <v>214</v>
      </c>
      <c r="G15" s="66" t="s">
        <v>223</v>
      </c>
    </row>
    <row r="16" spans="1:11" x14ac:dyDescent="0.25">
      <c r="A16" t="s">
        <v>224</v>
      </c>
      <c r="B16" t="s">
        <v>225</v>
      </c>
      <c r="D16" t="s">
        <v>214</v>
      </c>
      <c r="E16">
        <v>15</v>
      </c>
      <c r="F16" t="s">
        <v>214</v>
      </c>
      <c r="G16" s="66" t="s">
        <v>226</v>
      </c>
    </row>
    <row r="17" spans="1:7" x14ac:dyDescent="0.25">
      <c r="A17" t="s">
        <v>227</v>
      </c>
      <c r="D17" t="s">
        <v>214</v>
      </c>
      <c r="E17">
        <v>18.05</v>
      </c>
      <c r="F17" t="s">
        <v>214</v>
      </c>
      <c r="G17" s="66" t="s">
        <v>228</v>
      </c>
    </row>
    <row r="18" spans="1:7" x14ac:dyDescent="0.25">
      <c r="A18" t="s">
        <v>229</v>
      </c>
      <c r="D18" t="s">
        <v>214</v>
      </c>
      <c r="E18">
        <v>4.1900000000000004</v>
      </c>
      <c r="F18" t="s">
        <v>214</v>
      </c>
      <c r="G18" s="66" t="s">
        <v>230</v>
      </c>
    </row>
    <row r="19" spans="1:7" x14ac:dyDescent="0.25">
      <c r="A19" t="s">
        <v>231</v>
      </c>
      <c r="D19" t="s">
        <v>214</v>
      </c>
      <c r="E19">
        <v>5.83</v>
      </c>
      <c r="F19" t="s">
        <v>214</v>
      </c>
      <c r="G19" s="66" t="s">
        <v>232</v>
      </c>
    </row>
    <row r="20" spans="1:7" x14ac:dyDescent="0.25">
      <c r="A20" t="s">
        <v>233</v>
      </c>
      <c r="D20" t="s">
        <v>214</v>
      </c>
      <c r="E20">
        <v>9.7200000000000006</v>
      </c>
      <c r="F20" t="s">
        <v>214</v>
      </c>
      <c r="G20" s="66" t="s">
        <v>234</v>
      </c>
    </row>
    <row r="21" spans="1:7" x14ac:dyDescent="0.25">
      <c r="A21" t="s">
        <v>235</v>
      </c>
      <c r="D21" t="s">
        <v>214</v>
      </c>
      <c r="E21">
        <v>16.73</v>
      </c>
      <c r="F21" t="s">
        <v>214</v>
      </c>
      <c r="G21" s="66" t="s">
        <v>236</v>
      </c>
    </row>
    <row r="22" spans="1:7" x14ac:dyDescent="0.25">
      <c r="A22" t="s">
        <v>237</v>
      </c>
      <c r="D22" t="s">
        <v>214</v>
      </c>
      <c r="E22">
        <v>1.35</v>
      </c>
      <c r="G22" t="s">
        <v>238</v>
      </c>
    </row>
    <row r="23" spans="1:7" x14ac:dyDescent="0.25">
      <c r="A23" t="s">
        <v>239</v>
      </c>
      <c r="D23" t="s">
        <v>214</v>
      </c>
      <c r="E23">
        <v>1.35</v>
      </c>
      <c r="G23" t="s">
        <v>238</v>
      </c>
    </row>
    <row r="24" spans="1:7" x14ac:dyDescent="0.25">
      <c r="A24" t="s">
        <v>240</v>
      </c>
      <c r="D24" t="s">
        <v>214</v>
      </c>
      <c r="E24">
        <v>2.41</v>
      </c>
      <c r="G24" t="s">
        <v>238</v>
      </c>
    </row>
    <row r="25" spans="1:7" x14ac:dyDescent="0.25">
      <c r="A25" t="s">
        <v>241</v>
      </c>
      <c r="D25" t="s">
        <v>214</v>
      </c>
      <c r="E25">
        <v>0.7</v>
      </c>
      <c r="F25" t="s">
        <v>214</v>
      </c>
      <c r="G25" t="s">
        <v>242</v>
      </c>
    </row>
    <row r="26" spans="1:7" x14ac:dyDescent="0.25">
      <c r="A26" t="s">
        <v>243</v>
      </c>
      <c r="D26" t="s">
        <v>214</v>
      </c>
      <c r="E26">
        <v>14</v>
      </c>
      <c r="F26" t="s">
        <v>214</v>
      </c>
      <c r="G26" t="s">
        <v>244</v>
      </c>
    </row>
    <row r="27" spans="1:7" x14ac:dyDescent="0.25">
      <c r="A27" t="s">
        <v>245</v>
      </c>
      <c r="D27" t="s">
        <v>214</v>
      </c>
      <c r="E27">
        <v>12.5</v>
      </c>
      <c r="F27" t="s">
        <v>214</v>
      </c>
      <c r="G27" t="s">
        <v>246</v>
      </c>
    </row>
    <row r="28" spans="1:7" x14ac:dyDescent="0.25">
      <c r="A28" t="s">
        <v>247</v>
      </c>
      <c r="B28" t="s">
        <v>248</v>
      </c>
      <c r="D28" t="s">
        <v>214</v>
      </c>
      <c r="E28">
        <v>12.22</v>
      </c>
      <c r="F28" t="s">
        <v>214</v>
      </c>
      <c r="G28" t="s">
        <v>249</v>
      </c>
    </row>
    <row r="29" spans="1:7" x14ac:dyDescent="0.25">
      <c r="A29" t="s">
        <v>250</v>
      </c>
      <c r="D29" t="s">
        <v>214</v>
      </c>
      <c r="E29">
        <v>12.22</v>
      </c>
      <c r="F29" t="s">
        <v>214</v>
      </c>
      <c r="G29" t="s">
        <v>251</v>
      </c>
    </row>
    <row r="30" spans="1:7" x14ac:dyDescent="0.25">
      <c r="A30" t="s">
        <v>252</v>
      </c>
      <c r="D30" t="s">
        <v>214</v>
      </c>
      <c r="E30">
        <v>12.22</v>
      </c>
      <c r="F30" t="s">
        <v>214</v>
      </c>
      <c r="G30" t="s">
        <v>253</v>
      </c>
    </row>
    <row r="31" spans="1:7" x14ac:dyDescent="0.25">
      <c r="A31" t="s">
        <v>254</v>
      </c>
      <c r="B31" t="s">
        <v>255</v>
      </c>
      <c r="D31" t="s">
        <v>214</v>
      </c>
      <c r="E31">
        <v>20.440000000000001</v>
      </c>
      <c r="F31" t="s">
        <v>214</v>
      </c>
      <c r="G31" t="s">
        <v>256</v>
      </c>
    </row>
    <row r="32" spans="1:7" x14ac:dyDescent="0.25">
      <c r="A32" t="s">
        <v>257</v>
      </c>
      <c r="D32" t="s">
        <v>214</v>
      </c>
      <c r="E32">
        <v>20.440000000000001</v>
      </c>
      <c r="F32" t="s">
        <v>214</v>
      </c>
      <c r="G32" t="s">
        <v>258</v>
      </c>
    </row>
    <row r="33" spans="1:7" x14ac:dyDescent="0.25">
      <c r="A33" t="s">
        <v>259</v>
      </c>
      <c r="D33" t="s">
        <v>214</v>
      </c>
      <c r="E33">
        <v>20.440000000000001</v>
      </c>
      <c r="F33" t="s">
        <v>214</v>
      </c>
      <c r="G33" t="s">
        <v>260</v>
      </c>
    </row>
    <row r="34" spans="1:7" x14ac:dyDescent="0.25">
      <c r="A34" t="s">
        <v>261</v>
      </c>
      <c r="D34" t="s">
        <v>214</v>
      </c>
      <c r="E34">
        <v>20.440000000000001</v>
      </c>
      <c r="F34" t="s">
        <v>214</v>
      </c>
      <c r="G34" t="s">
        <v>262</v>
      </c>
    </row>
    <row r="35" spans="1:7" x14ac:dyDescent="0.25">
      <c r="A35" t="s">
        <v>263</v>
      </c>
      <c r="D35" t="s">
        <v>214</v>
      </c>
      <c r="E35">
        <v>5</v>
      </c>
      <c r="G35" t="s">
        <v>238</v>
      </c>
    </row>
    <row r="36" spans="1:7" x14ac:dyDescent="0.25">
      <c r="A36" t="s">
        <v>264</v>
      </c>
      <c r="D36" t="s">
        <v>214</v>
      </c>
      <c r="E36">
        <v>3</v>
      </c>
      <c r="G36" t="s">
        <v>238</v>
      </c>
    </row>
    <row r="37" spans="1:7" x14ac:dyDescent="0.25">
      <c r="A37" t="s">
        <v>265</v>
      </c>
      <c r="D37" t="s">
        <v>214</v>
      </c>
      <c r="E37">
        <v>2.97</v>
      </c>
      <c r="F37" t="s">
        <v>214</v>
      </c>
      <c r="G37" t="s">
        <v>266</v>
      </c>
    </row>
    <row r="38" spans="1:7" x14ac:dyDescent="0.25">
      <c r="A38" t="s">
        <v>267</v>
      </c>
      <c r="D38" t="s">
        <v>214</v>
      </c>
      <c r="E38">
        <v>13.79</v>
      </c>
      <c r="F38" t="s">
        <v>214</v>
      </c>
      <c r="G38" t="s">
        <v>244</v>
      </c>
    </row>
    <row r="39" spans="1:7" x14ac:dyDescent="0.25">
      <c r="A39" t="s">
        <v>268</v>
      </c>
      <c r="D39" t="s">
        <v>214</v>
      </c>
      <c r="E39">
        <v>27.58</v>
      </c>
      <c r="F39" t="s">
        <v>214</v>
      </c>
      <c r="G39" t="s">
        <v>244</v>
      </c>
    </row>
    <row r="40" spans="1:7" x14ac:dyDescent="0.25">
      <c r="A40" t="s">
        <v>269</v>
      </c>
      <c r="D40" t="s">
        <v>214</v>
      </c>
      <c r="E40">
        <v>7.6</v>
      </c>
      <c r="G40" t="s">
        <v>238</v>
      </c>
    </row>
    <row r="41" spans="1:7" x14ac:dyDescent="0.25">
      <c r="A41" t="s">
        <v>270</v>
      </c>
      <c r="D41" t="s">
        <v>214</v>
      </c>
      <c r="E41">
        <v>66.5</v>
      </c>
      <c r="G41" t="s">
        <v>238</v>
      </c>
    </row>
    <row r="42" spans="1:7" x14ac:dyDescent="0.25">
      <c r="A42" t="s">
        <v>271</v>
      </c>
      <c r="D42" t="s">
        <v>214</v>
      </c>
      <c r="E42">
        <v>17.5</v>
      </c>
      <c r="F42" t="s">
        <v>214</v>
      </c>
      <c r="G42" t="s">
        <v>272</v>
      </c>
    </row>
    <row r="43" spans="1:7" x14ac:dyDescent="0.25">
      <c r="A43" t="s">
        <v>273</v>
      </c>
      <c r="D43" t="s">
        <v>214</v>
      </c>
      <c r="E43">
        <v>8.86</v>
      </c>
      <c r="F43" t="s">
        <v>214</v>
      </c>
      <c r="G43" t="s">
        <v>272</v>
      </c>
    </row>
    <row r="44" spans="1:7" x14ac:dyDescent="0.25">
      <c r="A44" t="s">
        <v>274</v>
      </c>
      <c r="D44" t="s">
        <v>214</v>
      </c>
      <c r="E44">
        <v>3.42</v>
      </c>
      <c r="F44" t="s">
        <v>214</v>
      </c>
      <c r="G44" t="s">
        <v>275</v>
      </c>
    </row>
    <row r="45" spans="1:7" x14ac:dyDescent="0.25">
      <c r="A45" t="s">
        <v>276</v>
      </c>
      <c r="D45" t="s">
        <v>214</v>
      </c>
      <c r="E45">
        <v>30.13</v>
      </c>
      <c r="F45" t="s">
        <v>214</v>
      </c>
      <c r="G45" t="s">
        <v>266</v>
      </c>
    </row>
    <row r="46" spans="1:7" x14ac:dyDescent="0.25">
      <c r="A46" t="s">
        <v>277</v>
      </c>
      <c r="D46" t="s">
        <v>214</v>
      </c>
      <c r="E46">
        <v>1.65</v>
      </c>
      <c r="F46" t="s">
        <v>214</v>
      </c>
      <c r="G46" t="s">
        <v>278</v>
      </c>
    </row>
    <row r="47" spans="1:7" x14ac:dyDescent="0.25">
      <c r="A47" t="s">
        <v>279</v>
      </c>
      <c r="D47" t="s">
        <v>214</v>
      </c>
      <c r="E47">
        <v>20.61</v>
      </c>
      <c r="F47" t="s">
        <v>214</v>
      </c>
      <c r="G47" t="s">
        <v>280</v>
      </c>
    </row>
    <row r="48" spans="1:7" x14ac:dyDescent="0.25">
      <c r="A48" t="s">
        <v>281</v>
      </c>
      <c r="D48" t="s">
        <v>214</v>
      </c>
      <c r="E48">
        <v>2.33</v>
      </c>
      <c r="F48" t="s">
        <v>214</v>
      </c>
      <c r="G48" t="s">
        <v>282</v>
      </c>
    </row>
    <row r="49" spans="1:7" x14ac:dyDescent="0.25">
      <c r="A49" t="s">
        <v>283</v>
      </c>
      <c r="D49" t="s">
        <v>214</v>
      </c>
      <c r="E49">
        <v>29.1</v>
      </c>
      <c r="F49" t="s">
        <v>214</v>
      </c>
      <c r="G49" t="s">
        <v>284</v>
      </c>
    </row>
    <row r="50" spans="1:7" x14ac:dyDescent="0.25">
      <c r="A50" t="s">
        <v>285</v>
      </c>
      <c r="D50" t="s">
        <v>214</v>
      </c>
      <c r="E50">
        <v>1.46</v>
      </c>
      <c r="F50" t="s">
        <v>214</v>
      </c>
      <c r="G50" t="s">
        <v>286</v>
      </c>
    </row>
    <row r="51" spans="1:7" x14ac:dyDescent="0.25">
      <c r="A51" t="s">
        <v>287</v>
      </c>
      <c r="D51" t="s">
        <v>214</v>
      </c>
      <c r="E51">
        <v>36.380000000000003</v>
      </c>
      <c r="F51" t="s">
        <v>214</v>
      </c>
      <c r="G51" t="s">
        <v>286</v>
      </c>
    </row>
    <row r="52" spans="1:7" x14ac:dyDescent="0.25">
      <c r="A52" t="s">
        <v>288</v>
      </c>
      <c r="D52" t="s">
        <v>214</v>
      </c>
      <c r="E52">
        <v>2.52</v>
      </c>
      <c r="F52" t="s">
        <v>214</v>
      </c>
      <c r="G52" t="s">
        <v>289</v>
      </c>
    </row>
    <row r="53" spans="1:7" x14ac:dyDescent="0.25">
      <c r="A53" t="s">
        <v>290</v>
      </c>
      <c r="D53" t="s">
        <v>214</v>
      </c>
      <c r="E53">
        <v>31.5</v>
      </c>
      <c r="F53" t="s">
        <v>214</v>
      </c>
      <c r="G53" t="s">
        <v>289</v>
      </c>
    </row>
    <row r="54" spans="1:7" x14ac:dyDescent="0.25">
      <c r="A54" t="s">
        <v>291</v>
      </c>
      <c r="D54" t="s">
        <v>214</v>
      </c>
      <c r="E54">
        <v>36.25</v>
      </c>
      <c r="F54" t="s">
        <v>214</v>
      </c>
      <c r="G54" t="s">
        <v>292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7599-D8BF-47F4-A3D5-D10CED90EA6C}">
  <dimension ref="A1:E11"/>
  <sheetViews>
    <sheetView workbookViewId="0">
      <selection activeCell="D5" sqref="D5"/>
    </sheetView>
  </sheetViews>
  <sheetFormatPr defaultRowHeight="15" x14ac:dyDescent="0.25"/>
  <cols>
    <col min="1" max="1" width="62.28515625" bestFit="1" customWidth="1"/>
    <col min="2" max="2" width="22.7109375" bestFit="1" customWidth="1"/>
    <col min="3" max="3" width="21.5703125" bestFit="1" customWidth="1"/>
  </cols>
  <sheetData>
    <row r="1" spans="1:5" x14ac:dyDescent="0.25">
      <c r="A1" t="s">
        <v>168</v>
      </c>
      <c r="B1" t="s">
        <v>169</v>
      </c>
      <c r="C1" t="s">
        <v>170</v>
      </c>
      <c r="D1" t="s">
        <v>195</v>
      </c>
    </row>
    <row r="2" spans="1:5" x14ac:dyDescent="0.25">
      <c r="A2" t="s">
        <v>171</v>
      </c>
    </row>
    <row r="3" spans="1:5" x14ac:dyDescent="0.25">
      <c r="A3" t="s">
        <v>172</v>
      </c>
      <c r="B3" t="s">
        <v>173</v>
      </c>
      <c r="C3" t="s">
        <v>174</v>
      </c>
    </row>
    <row r="4" spans="1:5" x14ac:dyDescent="0.25">
      <c r="A4" t="s">
        <v>175</v>
      </c>
      <c r="B4" t="s">
        <v>176</v>
      </c>
      <c r="C4" s="66" t="s">
        <v>177</v>
      </c>
      <c r="D4">
        <v>0.24</v>
      </c>
      <c r="E4" s="6"/>
    </row>
    <row r="5" spans="1:5" x14ac:dyDescent="0.25">
      <c r="A5" t="s">
        <v>178</v>
      </c>
      <c r="B5" t="s">
        <v>179</v>
      </c>
      <c r="C5" s="66" t="s">
        <v>180</v>
      </c>
      <c r="D5">
        <v>0.56999999999999995</v>
      </c>
    </row>
    <row r="6" spans="1:5" x14ac:dyDescent="0.25">
      <c r="A6" t="s">
        <v>181</v>
      </c>
      <c r="B6" t="s">
        <v>182</v>
      </c>
      <c r="C6" s="66" t="s">
        <v>183</v>
      </c>
      <c r="D6">
        <v>0.4</v>
      </c>
    </row>
    <row r="7" spans="1:5" x14ac:dyDescent="0.25">
      <c r="A7" t="s">
        <v>184</v>
      </c>
      <c r="B7" t="s">
        <v>182</v>
      </c>
      <c r="C7" s="66" t="s">
        <v>183</v>
      </c>
      <c r="D7">
        <v>0.4</v>
      </c>
    </row>
    <row r="8" spans="1:5" x14ac:dyDescent="0.25">
      <c r="A8" t="s">
        <v>185</v>
      </c>
      <c r="B8" t="s">
        <v>186</v>
      </c>
      <c r="C8" s="66" t="s">
        <v>187</v>
      </c>
      <c r="D8">
        <v>0.35</v>
      </c>
    </row>
    <row r="9" spans="1:5" x14ac:dyDescent="0.25">
      <c r="A9" t="s">
        <v>188</v>
      </c>
      <c r="B9" t="s">
        <v>189</v>
      </c>
      <c r="C9" s="66" t="s">
        <v>190</v>
      </c>
      <c r="D9">
        <v>0.35</v>
      </c>
    </row>
    <row r="10" spans="1:5" x14ac:dyDescent="0.25">
      <c r="A10" t="s">
        <v>191</v>
      </c>
      <c r="B10" t="s">
        <v>192</v>
      </c>
      <c r="C10" s="66" t="s">
        <v>193</v>
      </c>
      <c r="D10">
        <v>0.36</v>
      </c>
    </row>
    <row r="11" spans="1:5" x14ac:dyDescent="0.25">
      <c r="A11" t="s">
        <v>194</v>
      </c>
      <c r="B11" t="s">
        <v>189</v>
      </c>
      <c r="C11" s="66" t="s">
        <v>190</v>
      </c>
      <c r="D11">
        <v>0.65</v>
      </c>
    </row>
  </sheetData>
  <phoneticPr fontId="1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7D15-8D53-4F5D-82CB-B4DD4528D1B7}">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CFA2-BDBF-4641-A04B-6269CEB1E8D9}">
  <dimension ref="A1:J47"/>
  <sheetViews>
    <sheetView tabSelected="1" topLeftCell="A26" workbookViewId="0">
      <selection activeCell="B41" sqref="B41:J41"/>
    </sheetView>
  </sheetViews>
  <sheetFormatPr defaultRowHeight="15" x14ac:dyDescent="0.25"/>
  <cols>
    <col min="1" max="1" width="25.5703125" bestFit="1" customWidth="1"/>
    <col min="2" max="4" width="15.85546875" bestFit="1" customWidth="1"/>
  </cols>
  <sheetData>
    <row r="1" spans="1:4" x14ac:dyDescent="0.25">
      <c r="A1" s="96" t="s">
        <v>158</v>
      </c>
      <c r="B1" s="96"/>
      <c r="C1" s="96"/>
      <c r="D1" s="96"/>
    </row>
    <row r="2" spans="1:4" x14ac:dyDescent="0.25">
      <c r="B2" t="s">
        <v>159</v>
      </c>
      <c r="C2" t="s">
        <v>160</v>
      </c>
      <c r="D2" t="s">
        <v>161</v>
      </c>
    </row>
    <row r="3" spans="1:4" x14ac:dyDescent="0.25">
      <c r="A3" s="73" t="s">
        <v>106</v>
      </c>
      <c r="B3" s="71">
        <v>4</v>
      </c>
      <c r="C3" s="71">
        <v>4</v>
      </c>
      <c r="D3" s="71">
        <v>4</v>
      </c>
    </row>
    <row r="4" spans="1:4" x14ac:dyDescent="0.25">
      <c r="A4" s="73" t="s">
        <v>125</v>
      </c>
      <c r="B4" s="71">
        <v>2.38</v>
      </c>
      <c r="C4" s="71">
        <v>2.38</v>
      </c>
      <c r="D4" s="71">
        <v>2.38</v>
      </c>
    </row>
    <row r="5" spans="1:4" x14ac:dyDescent="0.25">
      <c r="A5" s="73" t="s">
        <v>157</v>
      </c>
      <c r="B5" s="71">
        <v>1.93</v>
      </c>
      <c r="C5" s="71">
        <v>1.93</v>
      </c>
      <c r="D5" s="71">
        <v>1.93</v>
      </c>
    </row>
    <row r="6" spans="1:4" x14ac:dyDescent="0.25">
      <c r="A6" s="70" t="s">
        <v>109</v>
      </c>
      <c r="B6" s="71">
        <v>41.54</v>
      </c>
      <c r="C6" s="71">
        <v>49.85</v>
      </c>
      <c r="D6" s="71">
        <v>58.16</v>
      </c>
    </row>
    <row r="7" spans="1:4" x14ac:dyDescent="0.25">
      <c r="A7" s="96" t="s">
        <v>162</v>
      </c>
      <c r="B7" s="96"/>
      <c r="C7" s="96"/>
      <c r="D7" s="96"/>
    </row>
    <row r="8" spans="1:4" x14ac:dyDescent="0.25">
      <c r="B8" t="s">
        <v>159</v>
      </c>
      <c r="C8" t="s">
        <v>160</v>
      </c>
      <c r="D8" t="s">
        <v>161</v>
      </c>
    </row>
    <row r="9" spans="1:4" x14ac:dyDescent="0.25">
      <c r="A9" s="73" t="s">
        <v>106</v>
      </c>
      <c r="B9" s="71">
        <v>4</v>
      </c>
      <c r="C9" s="71">
        <v>4</v>
      </c>
      <c r="D9" s="71">
        <v>4</v>
      </c>
    </row>
    <row r="10" spans="1:4" x14ac:dyDescent="0.25">
      <c r="A10" s="73" t="s">
        <v>125</v>
      </c>
      <c r="B10" s="71">
        <v>2.38</v>
      </c>
      <c r="C10" s="71">
        <v>2.38</v>
      </c>
      <c r="D10" s="71">
        <v>2.38</v>
      </c>
    </row>
    <row r="11" spans="1:4" x14ac:dyDescent="0.25">
      <c r="A11" s="73" t="s">
        <v>157</v>
      </c>
      <c r="B11">
        <v>1.22</v>
      </c>
      <c r="C11">
        <v>1.22</v>
      </c>
      <c r="D11">
        <v>1.22</v>
      </c>
    </row>
    <row r="12" spans="1:4" x14ac:dyDescent="0.25">
      <c r="A12" s="70" t="s">
        <v>109</v>
      </c>
      <c r="B12" s="72">
        <f>SUM(B9:B11)*5</f>
        <v>38</v>
      </c>
      <c r="C12" s="72">
        <f>SUM(C9:C11)*6</f>
        <v>45.599999999999994</v>
      </c>
      <c r="D12" s="72">
        <f>SUM(D9:D11)*7</f>
        <v>53.199999999999996</v>
      </c>
    </row>
    <row r="13" spans="1:4" x14ac:dyDescent="0.25">
      <c r="A13" s="96" t="s">
        <v>163</v>
      </c>
      <c r="B13" s="96"/>
      <c r="C13" s="96"/>
      <c r="D13" s="96"/>
    </row>
    <row r="14" spans="1:4" x14ac:dyDescent="0.25">
      <c r="B14" t="s">
        <v>164</v>
      </c>
      <c r="C14" t="s">
        <v>165</v>
      </c>
    </row>
    <row r="15" spans="1:4" ht="30" x14ac:dyDescent="0.25">
      <c r="A15" s="1" t="s">
        <v>127</v>
      </c>
      <c r="B15">
        <v>1.07</v>
      </c>
      <c r="C15">
        <v>1.07</v>
      </c>
    </row>
    <row r="16" spans="1:4" x14ac:dyDescent="0.25">
      <c r="A16" s="9" t="s">
        <v>121</v>
      </c>
      <c r="B16">
        <f>B15*4</f>
        <v>4.28</v>
      </c>
      <c r="C16">
        <f>C15*5</f>
        <v>5.3500000000000005</v>
      </c>
    </row>
    <row r="17" spans="1:4" x14ac:dyDescent="0.25">
      <c r="A17" s="95" t="s">
        <v>166</v>
      </c>
      <c r="B17" s="95"/>
      <c r="C17" s="95"/>
      <c r="D17" s="95"/>
    </row>
    <row r="18" spans="1:4" ht="30" x14ac:dyDescent="0.25">
      <c r="B18" s="1" t="s">
        <v>128</v>
      </c>
      <c r="C18" s="1" t="s">
        <v>129</v>
      </c>
    </row>
    <row r="19" spans="1:4" x14ac:dyDescent="0.25">
      <c r="A19" t="s">
        <v>123</v>
      </c>
      <c r="B19">
        <v>0.56999999999999995</v>
      </c>
      <c r="C19">
        <v>0.56999999999999995</v>
      </c>
    </row>
    <row r="20" spans="1:4" x14ac:dyDescent="0.25">
      <c r="A20" t="s">
        <v>124</v>
      </c>
      <c r="B20">
        <v>0.47</v>
      </c>
      <c r="C20">
        <v>0.47</v>
      </c>
    </row>
    <row r="21" spans="1:4" ht="30" x14ac:dyDescent="0.25">
      <c r="A21" s="1" t="s">
        <v>130</v>
      </c>
      <c r="B21">
        <v>2.19</v>
      </c>
      <c r="C21">
        <v>2.19</v>
      </c>
    </row>
    <row r="22" spans="1:4" ht="30" x14ac:dyDescent="0.25">
      <c r="A22" s="1" t="s">
        <v>131</v>
      </c>
      <c r="B22" s="3">
        <v>0.23</v>
      </c>
      <c r="C22" s="3">
        <v>0.23</v>
      </c>
    </row>
    <row r="23" spans="1:4" x14ac:dyDescent="0.25">
      <c r="A23" s="9" t="s">
        <v>109</v>
      </c>
      <c r="B23" s="66">
        <f>(B19+(B20*12)+B21)-B22</f>
        <v>8.17</v>
      </c>
      <c r="C23" s="66">
        <f>(C19+(C20*24)+C21)-C22</f>
        <v>13.809999999999999</v>
      </c>
    </row>
    <row r="24" spans="1:4" x14ac:dyDescent="0.25">
      <c r="A24" s="95" t="s">
        <v>167</v>
      </c>
      <c r="B24" s="95"/>
      <c r="C24" s="95"/>
      <c r="D24" s="95"/>
    </row>
    <row r="25" spans="1:4" ht="30" x14ac:dyDescent="0.25">
      <c r="B25" s="1" t="s">
        <v>132</v>
      </c>
      <c r="C25" s="1" t="s">
        <v>133</v>
      </c>
    </row>
    <row r="26" spans="1:4" x14ac:dyDescent="0.25">
      <c r="A26" t="s">
        <v>123</v>
      </c>
      <c r="B26">
        <v>0.56999999999999995</v>
      </c>
      <c r="C26">
        <v>0.56999999999999995</v>
      </c>
    </row>
    <row r="27" spans="1:4" x14ac:dyDescent="0.25">
      <c r="A27" t="s">
        <v>124</v>
      </c>
      <c r="B27">
        <v>0.47</v>
      </c>
      <c r="C27">
        <v>0.47</v>
      </c>
    </row>
    <row r="28" spans="1:4" ht="30" x14ac:dyDescent="0.25">
      <c r="A28" s="1" t="s">
        <v>134</v>
      </c>
      <c r="B28">
        <v>26.06</v>
      </c>
      <c r="C28">
        <v>26.06</v>
      </c>
    </row>
    <row r="29" spans="1:4" ht="30" x14ac:dyDescent="0.25">
      <c r="A29" s="1" t="s">
        <v>131</v>
      </c>
      <c r="B29" s="3">
        <v>0.23</v>
      </c>
      <c r="C29" s="3">
        <v>0.23</v>
      </c>
    </row>
    <row r="30" spans="1:4" x14ac:dyDescent="0.25">
      <c r="A30" s="9" t="s">
        <v>109</v>
      </c>
      <c r="B30" s="66">
        <f>(B26+(B27*12)+B28)-B29</f>
        <v>32.04</v>
      </c>
      <c r="C30" s="66">
        <f>(C26+(C27*24)+C28)-C29</f>
        <v>37.68</v>
      </c>
    </row>
    <row r="35" spans="1:10" ht="15.75" thickBot="1" x14ac:dyDescent="0.3"/>
    <row r="36" spans="1:10" ht="15.75" thickBot="1" x14ac:dyDescent="0.3">
      <c r="A36" s="99" t="s">
        <v>293</v>
      </c>
      <c r="B36" s="100"/>
      <c r="C36" s="100"/>
      <c r="D36" s="100"/>
      <c r="E36" s="100"/>
      <c r="F36" s="100"/>
      <c r="G36" s="100"/>
      <c r="H36" s="100"/>
      <c r="I36" s="100"/>
      <c r="J36" s="101"/>
    </row>
    <row r="37" spans="1:10" ht="15.75" thickBot="1" x14ac:dyDescent="0.3">
      <c r="A37" s="105"/>
      <c r="B37" s="102" t="s">
        <v>159</v>
      </c>
      <c r="C37" s="103"/>
      <c r="D37" s="104"/>
      <c r="E37" s="102" t="s">
        <v>294</v>
      </c>
      <c r="F37" s="103"/>
      <c r="G37" s="104"/>
      <c r="H37" s="102" t="s">
        <v>161</v>
      </c>
      <c r="I37" s="103"/>
      <c r="J37" s="104"/>
    </row>
    <row r="38" spans="1:10" ht="15.75" thickBot="1" x14ac:dyDescent="0.3">
      <c r="A38" s="106" t="s">
        <v>106</v>
      </c>
      <c r="B38" s="98">
        <v>2</v>
      </c>
      <c r="C38" s="97">
        <v>4</v>
      </c>
      <c r="D38" s="97">
        <v>5</v>
      </c>
      <c r="E38" s="98">
        <v>2</v>
      </c>
      <c r="F38" s="97">
        <v>4</v>
      </c>
      <c r="G38" s="97">
        <v>5</v>
      </c>
      <c r="H38" s="98">
        <v>2</v>
      </c>
      <c r="I38" s="97">
        <v>4</v>
      </c>
      <c r="J38" s="97">
        <v>5</v>
      </c>
    </row>
    <row r="39" spans="1:10" ht="15.75" thickBot="1" x14ac:dyDescent="0.3">
      <c r="A39" s="106" t="s">
        <v>125</v>
      </c>
      <c r="B39" s="98">
        <v>0.78</v>
      </c>
      <c r="C39" s="97">
        <v>1.19</v>
      </c>
      <c r="D39" s="97">
        <v>1.39</v>
      </c>
      <c r="E39" s="98">
        <v>0.78</v>
      </c>
      <c r="F39" s="97">
        <v>1.19</v>
      </c>
      <c r="G39" s="97">
        <v>1.39</v>
      </c>
      <c r="H39" s="98">
        <v>0.78</v>
      </c>
      <c r="I39" s="97">
        <v>1.19</v>
      </c>
      <c r="J39" s="97">
        <v>1.39</v>
      </c>
    </row>
    <row r="40" spans="1:10" ht="15.75" thickBot="1" x14ac:dyDescent="0.3">
      <c r="A40" s="106" t="s">
        <v>157</v>
      </c>
      <c r="B40" s="98">
        <v>1.93</v>
      </c>
      <c r="C40" s="97">
        <v>1.93</v>
      </c>
      <c r="D40" s="97">
        <v>1.93</v>
      </c>
      <c r="E40" s="98">
        <v>1.93</v>
      </c>
      <c r="F40" s="97">
        <v>1.93</v>
      </c>
      <c r="G40" s="97">
        <v>1.93</v>
      </c>
      <c r="H40" s="98">
        <v>1.93</v>
      </c>
      <c r="I40" s="97">
        <v>1.93</v>
      </c>
      <c r="J40" s="97">
        <v>1.93</v>
      </c>
    </row>
    <row r="41" spans="1:10" ht="15.75" thickBot="1" x14ac:dyDescent="0.3">
      <c r="A41" s="107" t="s">
        <v>109</v>
      </c>
      <c r="B41" s="108">
        <f>SUM(B38:B40)*5</f>
        <v>23.55</v>
      </c>
      <c r="C41" s="108">
        <f t="shared" ref="C41:D41" si="0">SUM(C38:C40)*5</f>
        <v>35.599999999999994</v>
      </c>
      <c r="D41" s="108">
        <f t="shared" si="0"/>
        <v>41.6</v>
      </c>
      <c r="E41" s="108">
        <f>SUM(E38:E40)*6</f>
        <v>28.259999999999998</v>
      </c>
      <c r="F41" s="108">
        <f t="shared" ref="F41:G41" si="1">SUM(F38:F40)*6</f>
        <v>42.72</v>
      </c>
      <c r="G41" s="108">
        <f t="shared" si="1"/>
        <v>49.92</v>
      </c>
      <c r="H41" s="108">
        <f>SUM(H38:H40)*7</f>
        <v>32.97</v>
      </c>
      <c r="I41" s="108">
        <f t="shared" ref="I41:J41" si="2">SUM(I38:I40)*7</f>
        <v>49.839999999999996</v>
      </c>
      <c r="J41" s="108">
        <f t="shared" si="2"/>
        <v>58.24</v>
      </c>
    </row>
    <row r="42" spans="1:10" ht="15.75" thickBot="1" x14ac:dyDescent="0.3">
      <c r="A42" s="99" t="s">
        <v>295</v>
      </c>
      <c r="B42" s="100"/>
      <c r="C42" s="100"/>
      <c r="D42" s="100"/>
      <c r="E42" s="100"/>
      <c r="F42" s="100"/>
      <c r="G42" s="100"/>
      <c r="H42" s="100"/>
      <c r="I42" s="100"/>
      <c r="J42" s="101"/>
    </row>
    <row r="43" spans="1:10" ht="15.75" thickBot="1" x14ac:dyDescent="0.3">
      <c r="A43" s="105"/>
      <c r="B43" s="102" t="s">
        <v>159</v>
      </c>
      <c r="C43" s="103"/>
      <c r="D43" s="104"/>
      <c r="E43" s="102" t="s">
        <v>294</v>
      </c>
      <c r="F43" s="103"/>
      <c r="G43" s="104"/>
      <c r="H43" s="102" t="s">
        <v>161</v>
      </c>
      <c r="I43" s="103"/>
      <c r="J43" s="104"/>
    </row>
    <row r="44" spans="1:10" ht="15.75" thickBot="1" x14ac:dyDescent="0.3">
      <c r="A44" s="106" t="s">
        <v>106</v>
      </c>
      <c r="B44" s="98">
        <v>2</v>
      </c>
      <c r="C44" s="97">
        <v>4</v>
      </c>
      <c r="D44" s="97">
        <v>5</v>
      </c>
      <c r="E44" s="98">
        <v>2</v>
      </c>
      <c r="F44" s="97">
        <v>4</v>
      </c>
      <c r="G44" s="97">
        <v>5</v>
      </c>
      <c r="H44" s="98">
        <v>2</v>
      </c>
      <c r="I44" s="97">
        <v>4</v>
      </c>
      <c r="J44" s="97">
        <v>5</v>
      </c>
    </row>
    <row r="45" spans="1:10" ht="15.75" thickBot="1" x14ac:dyDescent="0.3">
      <c r="A45" s="106" t="s">
        <v>125</v>
      </c>
      <c r="B45" s="98">
        <v>0.78</v>
      </c>
      <c r="C45" s="97">
        <v>1.19</v>
      </c>
      <c r="D45" s="97">
        <v>1.39</v>
      </c>
      <c r="E45" s="98">
        <v>0.78</v>
      </c>
      <c r="F45" s="97">
        <v>1.19</v>
      </c>
      <c r="G45" s="97">
        <v>1.39</v>
      </c>
      <c r="H45" s="98">
        <v>0.78</v>
      </c>
      <c r="I45" s="97">
        <v>1.19</v>
      </c>
      <c r="J45" s="97">
        <v>1.39</v>
      </c>
    </row>
    <row r="46" spans="1:10" ht="15.75" thickBot="1" x14ac:dyDescent="0.3">
      <c r="A46" s="106" t="s">
        <v>157</v>
      </c>
      <c r="B46" s="98">
        <v>1.22</v>
      </c>
      <c r="C46" s="97">
        <v>1.22</v>
      </c>
      <c r="D46" s="97">
        <v>1.22</v>
      </c>
      <c r="E46" s="98">
        <v>1.22</v>
      </c>
      <c r="F46" s="97">
        <v>1.22</v>
      </c>
      <c r="G46" s="97">
        <v>1.22</v>
      </c>
      <c r="H46" s="98">
        <v>1.22</v>
      </c>
      <c r="I46" s="97">
        <v>1.22</v>
      </c>
      <c r="J46" s="97">
        <v>1.22</v>
      </c>
    </row>
    <row r="47" spans="1:10" ht="15.75" thickBot="1" x14ac:dyDescent="0.3">
      <c r="A47" s="107" t="s">
        <v>109</v>
      </c>
      <c r="B47" s="98">
        <f>SUM(B44:B46)*5</f>
        <v>20</v>
      </c>
      <c r="C47" s="98">
        <f t="shared" ref="C47:D47" si="3">SUM(C44:C46)*5</f>
        <v>32.049999999999997</v>
      </c>
      <c r="D47" s="98">
        <f t="shared" si="3"/>
        <v>38.049999999999997</v>
      </c>
      <c r="E47" s="98">
        <f>SUM(E44:E46)*6</f>
        <v>24</v>
      </c>
      <c r="F47" s="98">
        <f t="shared" ref="F47:G47" si="4">SUM(F44:F46)*6</f>
        <v>38.459999999999994</v>
      </c>
      <c r="G47" s="98">
        <f t="shared" si="4"/>
        <v>45.66</v>
      </c>
      <c r="H47" s="98">
        <f>SUM(H44:H46)*7</f>
        <v>28</v>
      </c>
      <c r="I47" s="98">
        <f t="shared" ref="I47:J47" si="5">SUM(I44:I46)*7</f>
        <v>44.87</v>
      </c>
      <c r="J47" s="98">
        <f t="shared" si="5"/>
        <v>53.269999999999996</v>
      </c>
    </row>
  </sheetData>
  <mergeCells count="13">
    <mergeCell ref="A36:J36"/>
    <mergeCell ref="B37:D37"/>
    <mergeCell ref="E37:G37"/>
    <mergeCell ref="H37:J37"/>
    <mergeCell ref="A42:J42"/>
    <mergeCell ref="B43:D43"/>
    <mergeCell ref="E43:G43"/>
    <mergeCell ref="H43:J43"/>
    <mergeCell ref="A24:D24"/>
    <mergeCell ref="A17:D17"/>
    <mergeCell ref="A13:D13"/>
    <mergeCell ref="A1:D1"/>
    <mergeCell ref="A7:D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C799CB-FEEE-480F-870E-E1CFB57D13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vaccine and consumables</vt:lpstr>
      <vt:lpstr>delivery costs</vt:lpstr>
      <vt:lpstr>smc</vt:lpstr>
      <vt:lpstr>costs </vt:lpstr>
      <vt:lpstr>Table001 (Page 1)</vt:lpstr>
      <vt:lpstr>Table005 (Page 1)</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Hayley Thompson</dc:creator>
  <cp:lastModifiedBy>Hayley Thompson</cp:lastModifiedBy>
  <dcterms:created xsi:type="dcterms:W3CDTF">2025-03-24T22:03:55Z</dcterms:created>
  <dcterms:modified xsi:type="dcterms:W3CDTF">2026-01-18T20:45:36Z</dcterms:modified>
</cp:coreProperties>
</file>